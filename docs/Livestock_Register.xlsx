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Assumptions" sheetId="1" state="visible" r:id="rId1"/>
    <sheet xmlns:r="http://schemas.openxmlformats.org/officeDocument/2006/relationships" name="Master Register" sheetId="2" state="visible" r:id="rId2"/>
    <sheet xmlns:r="http://schemas.openxmlformats.org/officeDocument/2006/relationships" name="Performance Ranking" sheetId="3" state="visible" r:id="rId3"/>
    <sheet xmlns:r="http://schemas.openxmlformats.org/officeDocument/2006/relationships" name="Heifer Calf Readiness" sheetId="4" state="visible" r:id="rId4"/>
    <sheet xmlns:r="http://schemas.openxmlformats.org/officeDocument/2006/relationships" name="Bull Calf Plan" sheetId="5" state="visible" r:id="rId5"/>
    <sheet xmlns:r="http://schemas.openxmlformats.org/officeDocument/2006/relationships" name="Lineage" sheetId="6" state="visible" r:id="rId6"/>
    <sheet xmlns:r="http://schemas.openxmlformats.org/officeDocument/2006/relationships" name="Breeding Status" sheetId="7" state="visible" r:id="rId7"/>
    <sheet xmlns:r="http://schemas.openxmlformats.org/officeDocument/2006/relationships" name="Calving Calendar" sheetId="8" state="visible" r:id="rId8"/>
    <sheet xmlns:r="http://schemas.openxmlformats.org/officeDocument/2006/relationships" name="Calving by Year" sheetId="9" state="visible" r:id="rId9"/>
    <sheet xmlns:r="http://schemas.openxmlformats.org/officeDocument/2006/relationships" name="Owner Summary" sheetId="10" state="visible" r:id="rId10"/>
    <sheet xmlns:r="http://schemas.openxmlformats.org/officeDocument/2006/relationships" name="Sold-Historic" sheetId="11" state="visible" r:id="rId11"/>
    <sheet xmlns:r="http://schemas.openxmlformats.org/officeDocument/2006/relationships" name="First Time Mothers" sheetId="12" state="visible" r:id="rId12"/>
    <sheet xmlns:r="http://schemas.openxmlformats.org/officeDocument/2006/relationships" name="History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</font>
    <font>
      <name val="Calibri"/>
      <b val="1"/>
      <sz val="11"/>
    </font>
    <font>
      <name val="Calibri"/>
      <b val="1"/>
      <color rgb="001F4E78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8"/>
    </font>
    <font>
      <name val="Calibri"/>
      <i val="1"/>
      <color rgb="00595959"/>
      <sz val="10"/>
    </font>
    <font>
      <name val="Calibri"/>
      <b val="1"/>
      <sz val="12"/>
    </font>
  </fonts>
  <fills count="13">
    <fill>
      <patternFill/>
    </fill>
    <fill>
      <patternFill patternType="gray125"/>
    </fill>
    <fill>
      <patternFill patternType="solid">
        <fgColor rgb="00A9D08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B084"/>
      </patternFill>
    </fill>
    <fill>
      <patternFill patternType="solid">
        <fgColor rgb="00FF7C8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/>
    </xf>
    <xf numFmtId="0" fontId="5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5" fillId="0" borderId="0" pivotButton="0" quotePrefix="0" xfId="0"/>
    <xf numFmtId="0" fontId="8" fillId="0" borderId="0" pivotButton="0" quotePrefix="0" xfId="0"/>
    <xf numFmtId="164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1" fontId="5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9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165" fontId="5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164" fontId="5" fillId="2" borderId="1" applyAlignment="1" pivotButton="0" quotePrefix="0" xfId="0">
      <alignment vertical="center" wrapText="1"/>
    </xf>
    <xf numFmtId="165" fontId="5" fillId="2" borderId="1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165" fontId="5" fillId="8" borderId="1" applyAlignment="1" pivotButton="0" quotePrefix="0" xfId="0">
      <alignment vertical="center" wrapText="1"/>
    </xf>
    <xf numFmtId="0" fontId="4" fillId="11" borderId="0" pivotButton="0" quotePrefix="0" xfId="0"/>
    <xf numFmtId="0" fontId="5" fillId="12" borderId="1" applyAlignment="1" pivotButton="0" quotePrefix="0" xfId="0">
      <alignment vertical="center" wrapText="1"/>
    </xf>
    <xf numFmtId="164" fontId="5" fillId="12" borderId="1" applyAlignment="1" pivotButton="0" quotePrefix="0" xfId="0">
      <alignment vertical="center" wrapText="1"/>
    </xf>
    <xf numFmtId="0" fontId="3" fillId="2" borderId="1" pivotButton="0" quotePrefix="0" xfId="0"/>
    <xf numFmtId="0" fontId="5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pivotButton="0" quotePrefix="0" xfId="0"/>
    <xf numFmtId="0" fontId="2" fillId="0" borderId="0" pivotButton="0" quotePrefix="0" xfId="0"/>
    <xf numFmtId="0" fontId="3" fillId="11" borderId="1" pivotButton="0" quotePrefix="0" xfId="0"/>
    <xf numFmtId="0" fontId="0" fillId="11" borderId="1" pivotButton="0" quotePrefix="0" xfId="0"/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Livestock Register &amp; Performance Analysis</t>
        </is>
      </c>
    </row>
    <row r="2" ht="30" customHeight="1">
      <c r="A2" s="2" t="inlineStr">
        <is>
          <t>True quality is not achieved by chance, but is the result of consistent effort, intelligent direction, and a commitment to excellence.</t>
        </is>
      </c>
    </row>
    <row r="4">
      <c r="A4" s="3" t="inlineStr">
        <is>
          <t>Reference date for all calculations: 2026-05-25</t>
        </is>
      </c>
    </row>
    <row r="6">
      <c r="A6" s="4" t="inlineStr">
        <is>
          <t>Workbook contents</t>
        </is>
      </c>
    </row>
    <row r="7">
      <c r="A7" s="3" t="inlineStr">
        <is>
          <t>Master Register</t>
        </is>
      </c>
      <c r="B7" s="5" t="inlineStr">
        <is>
          <t>Active herd (40 animals): breed, sex, DOB, mother, sire, status.</t>
        </is>
      </c>
    </row>
    <row r="8">
      <c r="A8" s="3" t="inlineStr">
        <is>
          <t>Performance Ranking</t>
        </is>
      </c>
      <c r="B8" s="5" t="inlineStr">
        <is>
          <t>Breeding cows ranked A (top) to E (cull). Use this to decide who to keep and who to sell.</t>
        </is>
      </c>
    </row>
    <row r="9">
      <c r="A9" s="3" t="inlineStr">
        <is>
          <t>Heifer Calf Readiness</t>
        </is>
      </c>
      <c r="B9" s="5" t="inlineStr">
        <is>
          <t>Each female calf: when she's ready to breed and when her first calf is due.</t>
        </is>
      </c>
    </row>
    <row r="10">
      <c r="A10" s="3" t="inlineStr">
        <is>
          <t>Bull Calf Plan</t>
        </is>
      </c>
      <c r="B10" s="5" t="inlineStr">
        <is>
          <t>Each male calf: sell vs keep as sire, with sale-ready or sire-ready dates.</t>
        </is>
      </c>
    </row>
    <row r="11">
      <c r="A11" s="3" t="inlineStr">
        <is>
          <t>Lineage</t>
        </is>
      </c>
      <c r="B11" s="5" t="inlineStr">
        <is>
          <t>Mother to calf relationships. (B) sired calves highlighted.</t>
        </is>
      </c>
    </row>
    <row r="12">
      <c r="A12" s="3" t="inlineStr">
        <is>
          <t>Breeding Status</t>
        </is>
      </c>
      <c r="B12" s="5" t="inlineStr">
        <is>
          <t>Open cows, covered cows, heifer readiness summary.</t>
        </is>
      </c>
    </row>
    <row r="13">
      <c r="A13" s="3" t="inlineStr">
        <is>
          <t>Calving Calendar</t>
        </is>
      </c>
      <c r="B13" s="5" t="inlineStr">
        <is>
          <t>Expected order of delivery with due dates.</t>
        </is>
      </c>
    </row>
    <row r="14">
      <c r="A14" s="3" t="inlineStr">
        <is>
          <t>Calving by Year</t>
        </is>
      </c>
      <c r="B14" s="5" t="inlineStr">
        <is>
          <t>Annual calving rate history.</t>
        </is>
      </c>
    </row>
    <row r="15">
      <c r="A15" s="3" t="inlineStr">
        <is>
          <t>Owner Summary</t>
        </is>
      </c>
      <c r="B15" s="5" t="inlineStr">
        <is>
          <t>Headcount by owner (Jijo / Olly / Tumi).</t>
        </is>
      </c>
    </row>
    <row r="16">
      <c r="A16" s="3" t="inlineStr">
        <is>
          <t>Sold-Historic</t>
        </is>
      </c>
      <c r="B16" s="5" t="inlineStr">
        <is>
          <t>Animals no longer in the herd.</t>
        </is>
      </c>
    </row>
    <row r="17">
      <c r="A17" s="3" t="inlineStr">
        <is>
          <t>First Time Mothers</t>
        </is>
      </c>
      <c r="B17" s="5" t="inlineStr">
        <is>
          <t>Heifers expected to calve for the first time, by year.</t>
        </is>
      </c>
    </row>
    <row r="18">
      <c r="A18" s="3" t="inlineStr">
        <is>
          <t>History Notes</t>
        </is>
      </c>
      <c r="B18" s="5" t="inlineStr">
        <is>
          <t>Timeline of past events.</t>
        </is>
      </c>
    </row>
    <row r="21">
      <c r="A21" s="4" t="inlineStr">
        <is>
          <t>Tier scale (Performance Ranking)</t>
        </is>
      </c>
    </row>
    <row r="22">
      <c r="A22" s="6" t="inlineStr">
        <is>
          <t>A — Top performer</t>
        </is>
      </c>
      <c r="B22" s="7" t="inlineStr">
        <is>
          <t>Keep, prioritise, breed every cycle.</t>
        </is>
      </c>
    </row>
    <row r="23">
      <c r="A23" s="8" t="inlineStr">
        <is>
          <t>B — Good</t>
        </is>
      </c>
      <c r="B23" s="7" t="inlineStr">
        <is>
          <t>Keep.</t>
        </is>
      </c>
    </row>
    <row r="24">
      <c r="A24" s="9" t="inlineStr">
        <is>
          <t>C — Average / monitor</t>
        </is>
      </c>
      <c r="B24" s="7" t="inlineStr">
        <is>
          <t>Keep but watch the next calving interval.</t>
        </is>
      </c>
    </row>
    <row r="25">
      <c r="A25" s="10" t="inlineStr">
        <is>
          <t>D — Watch / borderline</t>
        </is>
      </c>
      <c r="B25" s="7" t="inlineStr">
        <is>
          <t>Cull if next interval exceeds 18 months.</t>
        </is>
      </c>
    </row>
    <row r="26">
      <c r="A26" s="11" t="inlineStr">
        <is>
          <t>E — Cull candidate</t>
        </is>
      </c>
      <c r="B26" s="7" t="inlineStr">
        <is>
          <t>Confirm pregnant or sell now.</t>
        </is>
      </c>
    </row>
    <row r="28">
      <c r="A28" s="4" t="inlineStr">
        <is>
          <t>Legend &amp; conventions</t>
        </is>
      </c>
    </row>
    <row r="29">
      <c r="A29" s="3" t="inlineStr">
        <is>
          <t>(B)</t>
        </is>
      </c>
      <c r="B29" s="5" t="inlineStr">
        <is>
          <t>Calf sired by Boshomane (your bull). Highlighted in yellow.</t>
        </is>
      </c>
    </row>
    <row r="30">
      <c r="A30" s="3" t="inlineStr">
        <is>
          <t>(M)</t>
        </is>
      </c>
      <c r="B30" s="5" t="inlineStr">
        <is>
          <t>Male animal.</t>
        </is>
      </c>
    </row>
    <row r="31">
      <c r="A31" s="3" t="inlineStr">
        <is>
          <t>Aliases</t>
        </is>
      </c>
      <c r="B31" s="5" t="inlineStr">
        <is>
          <t>Mmadikrempe/Tiki, Smongo/Smongonase/Manki, Mawick/Obakeng, Makantase Jr/Junior, Georgina/Springbok, Lerato/Thando, Lapi/Lapa, Poelo/Matlhale.</t>
        </is>
      </c>
    </row>
    <row r="32">
      <c r="A32" s="3" t="inlineStr">
        <is>
          <t>Heifer ready age</t>
        </is>
      </c>
      <c r="B32" s="5" t="inlineStr">
        <is>
          <t>28 months (SA Brahman standard). Source-recorded dates used where given; otherwise computed.</t>
        </is>
      </c>
    </row>
    <row r="33">
      <c r="A33" s="3" t="inlineStr">
        <is>
          <t>Gestation</t>
        </is>
      </c>
      <c r="B33" s="5" t="inlineStr">
        <is>
          <t>283 days (standard cow gestation).</t>
        </is>
      </c>
    </row>
    <row r="35">
      <c r="A35" s="4" t="inlineStr">
        <is>
          <t>Confirmed decisions</t>
        </is>
      </c>
    </row>
    <row r="36">
      <c r="A36" s="3" t="inlineStr">
        <is>
          <t>Georgina = Springbok</t>
        </is>
      </c>
      <c r="B36" s="5" t="inlineStr">
        <is>
          <t>Same cow, using 'Georgina' as the canonical name.</t>
        </is>
      </c>
    </row>
    <row r="37">
      <c r="A37" s="3" t="inlineStr">
        <is>
          <t>Nomsa's mother = Serena</t>
        </is>
      </c>
      <c r="B37" s="5" t="inlineStr">
        <is>
          <t>Confirmed by birth-date match.</t>
        </is>
      </c>
    </row>
    <row r="38">
      <c r="A38" s="3" t="inlineStr">
        <is>
          <t>5 bull calves sold</t>
        </is>
      </c>
      <c r="B38" s="5" t="inlineStr">
        <is>
          <t>Gijima, Russell, Mzambia, Nyovest, Benny — all sold. Listed on Sold-Historic.</t>
        </is>
      </c>
    </row>
    <row r="39">
      <c r="A39" s="3" t="inlineStr">
        <is>
          <t>Loriza Impi Bull</t>
        </is>
      </c>
      <c r="B39" s="5" t="inlineStr">
        <is>
          <t>Was a bull you considered buying — ignored, not recorded as a sire.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8" customWidth="1" min="4" max="4"/>
    <col width="6" customWidth="1" min="5" max="5"/>
    <col width="18" customWidth="1" min="6" max="6"/>
    <col width="10" customWidth="1" min="7" max="7"/>
    <col width="22" customWidth="1" min="8" max="8"/>
    <col width="14" customWidth="1" min="9" max="9"/>
    <col width="6" customWidth="1" min="10" max="10"/>
    <col width="38" customWidth="1" min="11" max="11"/>
  </cols>
  <sheetData>
    <row r="1">
      <c r="A1" s="1" t="inlineStr">
        <is>
          <t>Master Register — Active Herd</t>
        </is>
      </c>
    </row>
    <row r="3" ht="32" customHeight="1">
      <c r="A3" s="12" t="inlineStr">
        <is>
          <t>#</t>
        </is>
      </c>
      <c r="B3" s="12" t="inlineStr">
        <is>
          <t>Name</t>
        </is>
      </c>
      <c r="C3" s="12" t="inlineStr">
        <is>
          <t>Aliases</t>
        </is>
      </c>
      <c r="D3" s="12" t="inlineStr">
        <is>
          <t>Breed</t>
        </is>
      </c>
      <c r="E3" s="12" t="inlineStr">
        <is>
          <t>Sex</t>
        </is>
      </c>
      <c r="F3" s="12" t="inlineStr">
        <is>
          <t>DOB (as recorded)</t>
        </is>
      </c>
      <c r="G3" s="12" t="inlineStr">
        <is>
          <t>Birth Year</t>
        </is>
      </c>
      <c r="H3" s="12" t="inlineStr">
        <is>
          <t>Mother</t>
        </is>
      </c>
      <c r="I3" s="12" t="inlineStr">
        <is>
          <t>Sire</t>
        </is>
      </c>
      <c r="J3" s="12" t="inlineStr">
        <is>
          <t>(B)</t>
        </is>
      </c>
      <c r="K3" s="12" t="inlineStr">
        <is>
          <t>Notes</t>
        </is>
      </c>
    </row>
    <row r="4">
      <c r="A4" s="13" t="n">
        <v>1</v>
      </c>
      <c r="B4" s="13" t="inlineStr">
        <is>
          <t>Georgina</t>
        </is>
      </c>
      <c r="C4" s="13" t="inlineStr">
        <is>
          <t>Springbok</t>
        </is>
      </c>
      <c r="D4" s="13" t="inlineStr">
        <is>
          <t>Boran Cross</t>
        </is>
      </c>
      <c r="E4" s="13" t="inlineStr">
        <is>
          <t>F</t>
        </is>
      </c>
      <c r="F4" s="13" t="inlineStr">
        <is>
          <t>Jan 2020</t>
        </is>
      </c>
      <c r="G4" s="13" t="n">
        <v>2020</v>
      </c>
      <c r="H4" s="13" t="inlineStr"/>
      <c r="I4" s="13" t="inlineStr"/>
      <c r="J4" s="13" t="inlineStr"/>
      <c r="K4" s="13" t="inlineStr">
        <is>
          <t>Senior cow</t>
        </is>
      </c>
    </row>
    <row r="5">
      <c r="A5" s="13" t="n">
        <v>2</v>
      </c>
      <c r="B5" s="13" t="inlineStr">
        <is>
          <t>Mpho</t>
        </is>
      </c>
      <c r="C5" s="13" t="inlineStr"/>
      <c r="D5" s="13" t="inlineStr">
        <is>
          <t>Boran Cross</t>
        </is>
      </c>
      <c r="E5" s="13" t="inlineStr">
        <is>
          <t>F</t>
        </is>
      </c>
      <c r="F5" s="13" t="inlineStr">
        <is>
          <t>Sep 2021</t>
        </is>
      </c>
      <c r="G5" s="13" t="n">
        <v>2021</v>
      </c>
      <c r="H5" s="13" t="inlineStr"/>
      <c r="I5" s="13" t="inlineStr"/>
      <c r="J5" s="13" t="inlineStr"/>
      <c r="K5" s="13" t="inlineStr"/>
    </row>
    <row r="6">
      <c r="A6" s="13" t="n">
        <v>3</v>
      </c>
      <c r="B6" s="13" t="inlineStr">
        <is>
          <t>Zondi</t>
        </is>
      </c>
      <c r="C6" s="13" t="inlineStr"/>
      <c r="D6" s="13" t="inlineStr">
        <is>
          <t>Brahman x Boran</t>
        </is>
      </c>
      <c r="E6" s="13" t="inlineStr">
        <is>
          <t>F</t>
        </is>
      </c>
      <c r="F6" s="13" t="inlineStr">
        <is>
          <t>2020</t>
        </is>
      </c>
      <c r="G6" s="13" t="n">
        <v>2020</v>
      </c>
      <c r="H6" s="13" t="inlineStr"/>
      <c r="I6" s="13" t="inlineStr"/>
      <c r="J6" s="13" t="inlineStr"/>
      <c r="K6" s="13" t="inlineStr"/>
    </row>
    <row r="7">
      <c r="A7" s="13" t="n">
        <v>4</v>
      </c>
      <c r="B7" s="13" t="inlineStr">
        <is>
          <t>Kgetlheng</t>
        </is>
      </c>
      <c r="C7" s="13" t="inlineStr"/>
      <c r="D7" s="13" t="inlineStr">
        <is>
          <t>Brahman x Boran</t>
        </is>
      </c>
      <c r="E7" s="13" t="inlineStr">
        <is>
          <t>F</t>
        </is>
      </c>
      <c r="F7" s="13" t="inlineStr">
        <is>
          <t>2020</t>
        </is>
      </c>
      <c r="G7" s="13" t="n">
        <v>2020</v>
      </c>
      <c r="H7" s="13" t="inlineStr"/>
      <c r="I7" s="13" t="inlineStr"/>
      <c r="J7" s="13" t="inlineStr"/>
      <c r="K7" s="13" t="inlineStr"/>
    </row>
    <row r="8">
      <c r="A8" s="13" t="n">
        <v>5</v>
      </c>
      <c r="B8" s="13" t="inlineStr">
        <is>
          <t>Mantabole</t>
        </is>
      </c>
      <c r="C8" s="13" t="inlineStr"/>
      <c r="D8" s="13" t="inlineStr">
        <is>
          <t>Brahman x Boran</t>
        </is>
      </c>
      <c r="E8" s="13" t="inlineStr">
        <is>
          <t>F</t>
        </is>
      </c>
      <c r="F8" s="13" t="inlineStr">
        <is>
          <t>2020</t>
        </is>
      </c>
      <c r="G8" s="13" t="n">
        <v>2020</v>
      </c>
      <c r="H8" s="13" t="inlineStr"/>
      <c r="I8" s="13" t="inlineStr"/>
      <c r="J8" s="13" t="inlineStr"/>
      <c r="K8" s="13" t="inlineStr"/>
    </row>
    <row r="9">
      <c r="A9" s="13" t="n">
        <v>6</v>
      </c>
      <c r="B9" s="13" t="inlineStr">
        <is>
          <t>Leruo</t>
        </is>
      </c>
      <c r="C9" s="13" t="inlineStr"/>
      <c r="D9" s="13" t="inlineStr">
        <is>
          <t>Brahman x Boran</t>
        </is>
      </c>
      <c r="E9" s="13" t="inlineStr">
        <is>
          <t>F</t>
        </is>
      </c>
      <c r="F9" s="13" t="inlineStr">
        <is>
          <t>Apr 2023</t>
        </is>
      </c>
      <c r="G9" s="13" t="n">
        <v>2023</v>
      </c>
      <c r="H9" s="13" t="inlineStr">
        <is>
          <t>Kgetlheng</t>
        </is>
      </c>
      <c r="I9" s="13" t="inlineStr"/>
      <c r="J9" s="13" t="inlineStr"/>
      <c r="K9" s="13" t="inlineStr"/>
    </row>
    <row r="10">
      <c r="A10" s="13" t="n">
        <v>7</v>
      </c>
      <c r="B10" s="13" t="inlineStr">
        <is>
          <t>Amogelang</t>
        </is>
      </c>
      <c r="C10" s="13" t="inlineStr">
        <is>
          <t>Amo</t>
        </is>
      </c>
      <c r="D10" s="13" t="inlineStr">
        <is>
          <t>Brahman x Boran</t>
        </is>
      </c>
      <c r="E10" s="13" t="inlineStr">
        <is>
          <t>F</t>
        </is>
      </c>
      <c r="F10" s="13" t="inlineStr">
        <is>
          <t>Mar 2023</t>
        </is>
      </c>
      <c r="G10" s="13" t="n">
        <v>2023</v>
      </c>
      <c r="H10" s="13" t="inlineStr">
        <is>
          <t>Mantabole</t>
        </is>
      </c>
      <c r="I10" s="13" t="inlineStr"/>
      <c r="J10" s="13" t="inlineStr"/>
      <c r="K10" s="13" t="inlineStr"/>
    </row>
    <row r="11">
      <c r="A11" s="14" t="n">
        <v>8</v>
      </c>
      <c r="B11" s="14" t="inlineStr">
        <is>
          <t>Bali</t>
        </is>
      </c>
      <c r="C11" s="14" t="inlineStr">
        <is>
          <t>mebala</t>
        </is>
      </c>
      <c r="D11" s="14" t="inlineStr">
        <is>
          <t>Brahman x Boran</t>
        </is>
      </c>
      <c r="E11" s="14" t="inlineStr">
        <is>
          <t>F</t>
        </is>
      </c>
      <c r="F11" s="14" t="inlineStr">
        <is>
          <t>26 Aug 2024</t>
        </is>
      </c>
      <c r="G11" s="14" t="n">
        <v>2024</v>
      </c>
      <c r="H11" s="14" t="inlineStr">
        <is>
          <t>Mphonyana (dec.)</t>
        </is>
      </c>
      <c r="I11" s="14" t="inlineStr">
        <is>
          <t>Boshomane</t>
        </is>
      </c>
      <c r="J11" s="14" t="inlineStr">
        <is>
          <t>Y</t>
        </is>
      </c>
      <c r="K11" s="14" t="inlineStr"/>
    </row>
    <row r="12">
      <c r="A12" s="14" t="n">
        <v>9</v>
      </c>
      <c r="B12" s="14" t="inlineStr">
        <is>
          <t>Madikizela</t>
        </is>
      </c>
      <c r="C12" s="14" t="inlineStr"/>
      <c r="D12" s="14" t="inlineStr">
        <is>
          <t>Brahman x Boran</t>
        </is>
      </c>
      <c r="E12" s="14" t="inlineStr">
        <is>
          <t>F</t>
        </is>
      </c>
      <c r="F12" s="14" t="inlineStr">
        <is>
          <t>27 Aug 2024</t>
        </is>
      </c>
      <c r="G12" s="14" t="n">
        <v>2024</v>
      </c>
      <c r="H12" s="14" t="inlineStr">
        <is>
          <t>Georgina</t>
        </is>
      </c>
      <c r="I12" s="14" t="inlineStr">
        <is>
          <t>Boshomane</t>
        </is>
      </c>
      <c r="J12" s="14" t="inlineStr">
        <is>
          <t>Y</t>
        </is>
      </c>
      <c r="K12" s="14" t="inlineStr"/>
    </row>
    <row r="13">
      <c r="A13" s="14" t="n">
        <v>10</v>
      </c>
      <c r="B13" s="14" t="inlineStr">
        <is>
          <t>Tlhabi</t>
        </is>
      </c>
      <c r="C13" s="14" t="inlineStr"/>
      <c r="D13" s="14" t="inlineStr">
        <is>
          <t>Brahman x Boran</t>
        </is>
      </c>
      <c r="E13" s="14" t="inlineStr">
        <is>
          <t>F</t>
        </is>
      </c>
      <c r="F13" s="14" t="inlineStr">
        <is>
          <t>12 Aug 2025</t>
        </is>
      </c>
      <c r="G13" s="14" t="n">
        <v>2025</v>
      </c>
      <c r="H13" s="14" t="inlineStr">
        <is>
          <t>Zondi</t>
        </is>
      </c>
      <c r="I13" s="14" t="inlineStr">
        <is>
          <t>Boshomane</t>
        </is>
      </c>
      <c r="J13" s="14" t="inlineStr">
        <is>
          <t>Y</t>
        </is>
      </c>
      <c r="K13" s="14" t="inlineStr"/>
    </row>
    <row r="14">
      <c r="A14" s="14" t="n">
        <v>11</v>
      </c>
      <c r="B14" s="14" t="inlineStr">
        <is>
          <t>Lele</t>
        </is>
      </c>
      <c r="C14" s="14" t="inlineStr"/>
      <c r="D14" s="14" t="inlineStr">
        <is>
          <t>Brahman x Boran</t>
        </is>
      </c>
      <c r="E14" s="15" t="inlineStr">
        <is>
          <t>M</t>
        </is>
      </c>
      <c r="F14" s="14" t="inlineStr">
        <is>
          <t>30 Aug 2025</t>
        </is>
      </c>
      <c r="G14" s="14" t="n">
        <v>2025</v>
      </c>
      <c r="H14" s="14" t="inlineStr">
        <is>
          <t>Mantabole</t>
        </is>
      </c>
      <c r="I14" s="14" t="inlineStr">
        <is>
          <t>Boshomane</t>
        </is>
      </c>
      <c r="J14" s="14" t="inlineStr">
        <is>
          <t>Y</t>
        </is>
      </c>
      <c r="K14" s="14" t="inlineStr"/>
    </row>
    <row r="15">
      <c r="A15" s="13" t="n">
        <v>12</v>
      </c>
      <c r="B15" s="13" t="inlineStr">
        <is>
          <t>Mmapule</t>
        </is>
      </c>
      <c r="C15" s="13" t="inlineStr"/>
      <c r="D15" s="13" t="inlineStr">
        <is>
          <t>Boran x Simbra</t>
        </is>
      </c>
      <c r="E15" s="13" t="inlineStr">
        <is>
          <t>F</t>
        </is>
      </c>
      <c r="F15" s="13" t="inlineStr">
        <is>
          <t>11 Dec 2023</t>
        </is>
      </c>
      <c r="G15" s="13" t="n">
        <v>2023</v>
      </c>
      <c r="H15" s="13" t="inlineStr">
        <is>
          <t>Zondi</t>
        </is>
      </c>
      <c r="I15" s="13" t="inlineStr"/>
      <c r="J15" s="13" t="inlineStr"/>
      <c r="K15" s="13" t="inlineStr"/>
    </row>
    <row r="16">
      <c r="A16" s="13" t="n">
        <v>13</v>
      </c>
      <c r="B16" s="13" t="inlineStr">
        <is>
          <t>Makantase</t>
        </is>
      </c>
      <c r="C16" s="13" t="inlineStr"/>
      <c r="D16" s="13" t="inlineStr">
        <is>
          <t>Brahman</t>
        </is>
      </c>
      <c r="E16" s="13" t="inlineStr">
        <is>
          <t>F</t>
        </is>
      </c>
      <c r="F16" s="13" t="inlineStr">
        <is>
          <t>2017</t>
        </is>
      </c>
      <c r="G16" s="13" t="n">
        <v>2017</v>
      </c>
      <c r="H16" s="13" t="inlineStr"/>
      <c r="I16" s="13" t="inlineStr"/>
      <c r="J16" s="13" t="inlineStr"/>
      <c r="K16" s="13" t="inlineStr">
        <is>
          <t>Senior cow</t>
        </is>
      </c>
    </row>
    <row r="17">
      <c r="A17" s="13" t="n">
        <v>14</v>
      </c>
      <c r="B17" s="13" t="inlineStr">
        <is>
          <t>Makantase Jr</t>
        </is>
      </c>
      <c r="C17" s="13" t="inlineStr">
        <is>
          <t>Junior</t>
        </is>
      </c>
      <c r="D17" s="13" t="inlineStr">
        <is>
          <t>Brahman</t>
        </is>
      </c>
      <c r="E17" s="13" t="inlineStr">
        <is>
          <t>F</t>
        </is>
      </c>
      <c r="F17" s="13" t="inlineStr">
        <is>
          <t>Nov 2021</t>
        </is>
      </c>
      <c r="G17" s="13" t="n">
        <v>2021</v>
      </c>
      <c r="H17" s="13" t="inlineStr">
        <is>
          <t>Makantase</t>
        </is>
      </c>
      <c r="I17" s="13" t="inlineStr"/>
      <c r="J17" s="13" t="inlineStr"/>
      <c r="K17" s="13" t="inlineStr"/>
    </row>
    <row r="18">
      <c r="A18" s="13" t="n">
        <v>15</v>
      </c>
      <c r="B18" s="13" t="inlineStr">
        <is>
          <t>Baizani</t>
        </is>
      </c>
      <c r="C18" s="13" t="inlineStr"/>
      <c r="D18" s="13" t="inlineStr">
        <is>
          <t>Brahman</t>
        </is>
      </c>
      <c r="E18" s="13" t="inlineStr">
        <is>
          <t>F</t>
        </is>
      </c>
      <c r="F18" s="13" t="inlineStr">
        <is>
          <t>Feb 2020</t>
        </is>
      </c>
      <c r="G18" s="13" t="n">
        <v>2020</v>
      </c>
      <c r="H18" s="13" t="inlineStr"/>
      <c r="I18" s="13" t="inlineStr"/>
      <c r="J18" s="13" t="inlineStr"/>
      <c r="K18" s="13" t="inlineStr"/>
    </row>
    <row r="19">
      <c r="A19" s="13" t="n">
        <v>16</v>
      </c>
      <c r="B19" s="13" t="inlineStr">
        <is>
          <t>Lerato Makantase</t>
        </is>
      </c>
      <c r="C19" s="13" t="inlineStr">
        <is>
          <t>Thando</t>
        </is>
      </c>
      <c r="D19" s="13" t="inlineStr">
        <is>
          <t>Brahman</t>
        </is>
      </c>
      <c r="E19" s="13" t="inlineStr">
        <is>
          <t>F</t>
        </is>
      </c>
      <c r="F19" s="13" t="inlineStr">
        <is>
          <t>3 Feb 2023</t>
        </is>
      </c>
      <c r="G19" s="13" t="n">
        <v>2023</v>
      </c>
      <c r="H19" s="13" t="inlineStr">
        <is>
          <t>Makantase</t>
        </is>
      </c>
      <c r="I19" s="13" t="inlineStr"/>
      <c r="J19" s="13" t="inlineStr"/>
      <c r="K19" s="13" t="inlineStr"/>
    </row>
    <row r="20">
      <c r="A20" s="13" t="n">
        <v>17</v>
      </c>
      <c r="B20" s="13" t="inlineStr">
        <is>
          <t>Serena</t>
        </is>
      </c>
      <c r="C20" s="13" t="inlineStr"/>
      <c r="D20" s="13" t="inlineStr">
        <is>
          <t>Brahman</t>
        </is>
      </c>
      <c r="E20" s="13" t="inlineStr">
        <is>
          <t>F</t>
        </is>
      </c>
      <c r="F20" s="13" t="inlineStr">
        <is>
          <t>2023</t>
        </is>
      </c>
      <c r="G20" s="13" t="n">
        <v>2023</v>
      </c>
      <c r="H20" s="13" t="inlineStr"/>
      <c r="I20" s="13" t="inlineStr"/>
      <c r="J20" s="13" t="inlineStr"/>
      <c r="K20" s="13" t="inlineStr"/>
    </row>
    <row r="21">
      <c r="A21" s="13" t="n">
        <v>18</v>
      </c>
      <c r="B21" s="13" t="inlineStr">
        <is>
          <t>Venus</t>
        </is>
      </c>
      <c r="C21" s="13" t="inlineStr"/>
      <c r="D21" s="13" t="inlineStr">
        <is>
          <t>Brahman</t>
        </is>
      </c>
      <c r="E21" s="13" t="inlineStr">
        <is>
          <t>F</t>
        </is>
      </c>
      <c r="F21" s="13" t="inlineStr">
        <is>
          <t>2023</t>
        </is>
      </c>
      <c r="G21" s="13" t="n">
        <v>2023</v>
      </c>
      <c r="H21" s="13" t="inlineStr"/>
      <c r="I21" s="13" t="inlineStr"/>
      <c r="J21" s="13" t="inlineStr"/>
      <c r="K21" s="13" t="inlineStr">
        <is>
          <t>No calf yet</t>
        </is>
      </c>
    </row>
    <row r="22">
      <c r="A22" s="13" t="n">
        <v>19</v>
      </c>
      <c r="B22" s="13" t="inlineStr">
        <is>
          <t>Coco Gauff</t>
        </is>
      </c>
      <c r="C22" s="13" t="inlineStr"/>
      <c r="D22" s="13" t="inlineStr">
        <is>
          <t>Brahman</t>
        </is>
      </c>
      <c r="E22" s="13" t="inlineStr">
        <is>
          <t>F</t>
        </is>
      </c>
      <c r="F22" s="13" t="inlineStr">
        <is>
          <t>2023</t>
        </is>
      </c>
      <c r="G22" s="13" t="n">
        <v>2023</v>
      </c>
      <c r="H22" s="13" t="inlineStr"/>
      <c r="I22" s="13" t="inlineStr"/>
      <c r="J22" s="13" t="inlineStr"/>
      <c r="K22" s="13" t="inlineStr">
        <is>
          <t>No calf yet</t>
        </is>
      </c>
    </row>
    <row r="23">
      <c r="A23" s="13" t="n">
        <v>20</v>
      </c>
      <c r="B23" s="13" t="inlineStr">
        <is>
          <t>Nandipha Magudumana</t>
        </is>
      </c>
      <c r="C23" s="13" t="inlineStr"/>
      <c r="D23" s="13" t="inlineStr">
        <is>
          <t>Brahman</t>
        </is>
      </c>
      <c r="E23" s="13" t="inlineStr">
        <is>
          <t>F</t>
        </is>
      </c>
      <c r="F23" s="13" t="inlineStr">
        <is>
          <t>2023</t>
        </is>
      </c>
      <c r="G23" s="13" t="n">
        <v>2023</v>
      </c>
      <c r="H23" s="13" t="inlineStr"/>
      <c r="I23" s="13" t="inlineStr"/>
      <c r="J23" s="13" t="inlineStr"/>
      <c r="K23" s="13" t="inlineStr"/>
    </row>
    <row r="24">
      <c r="A24" s="14" t="n">
        <v>21</v>
      </c>
      <c r="B24" s="14" t="inlineStr">
        <is>
          <t>Smongo</t>
        </is>
      </c>
      <c r="C24" s="14" t="inlineStr">
        <is>
          <t>Smongonase / Manki</t>
        </is>
      </c>
      <c r="D24" s="14" t="inlineStr">
        <is>
          <t>Brahman</t>
        </is>
      </c>
      <c r="E24" s="14" t="inlineStr">
        <is>
          <t>F</t>
        </is>
      </c>
      <c r="F24" s="14" t="inlineStr">
        <is>
          <t>22 Jun 2024</t>
        </is>
      </c>
      <c r="G24" s="14" t="n">
        <v>2024</v>
      </c>
      <c r="H24" s="14" t="inlineStr">
        <is>
          <t>Makantase</t>
        </is>
      </c>
      <c r="I24" s="14" t="inlineStr">
        <is>
          <t>Boshomane</t>
        </is>
      </c>
      <c r="J24" s="14" t="inlineStr">
        <is>
          <t>Y</t>
        </is>
      </c>
      <c r="K24" s="14" t="inlineStr"/>
    </row>
    <row r="25">
      <c r="A25" s="13" t="n">
        <v>22</v>
      </c>
      <c r="B25" s="13" t="inlineStr">
        <is>
          <t>Mawick</t>
        </is>
      </c>
      <c r="C25" s="13" t="inlineStr">
        <is>
          <t>Obakeng</t>
        </is>
      </c>
      <c r="D25" s="13" t="inlineStr">
        <is>
          <t>Brahman</t>
        </is>
      </c>
      <c r="E25" s="15" t="inlineStr">
        <is>
          <t>M</t>
        </is>
      </c>
      <c r="F25" s="13" t="inlineStr">
        <is>
          <t>28 Oct 2024</t>
        </is>
      </c>
      <c r="G25" s="13" t="n">
        <v>2024</v>
      </c>
      <c r="H25" s="13" t="inlineStr">
        <is>
          <t>Baizani</t>
        </is>
      </c>
      <c r="I25" s="13" t="inlineStr"/>
      <c r="J25" s="13" t="inlineStr"/>
      <c r="K25" s="13" t="inlineStr">
        <is>
          <t>Sire candidate</t>
        </is>
      </c>
    </row>
    <row r="26">
      <c r="A26" s="14" t="n">
        <v>23</v>
      </c>
      <c r="B26" s="14" t="inlineStr">
        <is>
          <t>Nomsa</t>
        </is>
      </c>
      <c r="C26" s="14" t="inlineStr"/>
      <c r="D26" s="14" t="inlineStr">
        <is>
          <t>Brahman</t>
        </is>
      </c>
      <c r="E26" s="14" t="inlineStr">
        <is>
          <t>F</t>
        </is>
      </c>
      <c r="F26" s="14" t="inlineStr">
        <is>
          <t>25 Oct 2025</t>
        </is>
      </c>
      <c r="G26" s="14" t="n">
        <v>2025</v>
      </c>
      <c r="H26" s="14" t="inlineStr">
        <is>
          <t>Serena</t>
        </is>
      </c>
      <c r="I26" s="14" t="inlineStr">
        <is>
          <t>Boshomane</t>
        </is>
      </c>
      <c r="J26" s="14" t="inlineStr">
        <is>
          <t>Y</t>
        </is>
      </c>
      <c r="K26" s="14" t="inlineStr"/>
    </row>
    <row r="27">
      <c r="A27" s="13" t="n">
        <v>24</v>
      </c>
      <c r="B27" s="13" t="inlineStr">
        <is>
          <t>Amerko</t>
        </is>
      </c>
      <c r="C27" s="13" t="inlineStr"/>
      <c r="D27" s="13" t="inlineStr">
        <is>
          <t>Brahman</t>
        </is>
      </c>
      <c r="E27" s="15" t="inlineStr">
        <is>
          <t>M</t>
        </is>
      </c>
      <c r="F27" s="13" t="inlineStr">
        <is>
          <t>19 Nov 2025</t>
        </is>
      </c>
      <c r="G27" s="13" t="n">
        <v>2025</v>
      </c>
      <c r="H27" s="13" t="inlineStr">
        <is>
          <t>Nandipha Magudumana</t>
        </is>
      </c>
      <c r="I27" s="13" t="inlineStr"/>
      <c r="J27" s="13" t="inlineStr"/>
      <c r="K27" s="13" t="inlineStr">
        <is>
          <t>Sire candidate</t>
        </is>
      </c>
    </row>
    <row r="28">
      <c r="A28" s="14" t="n">
        <v>25</v>
      </c>
      <c r="B28" s="14" t="inlineStr">
        <is>
          <t>Puleng</t>
        </is>
      </c>
      <c r="C28" s="14" t="inlineStr"/>
      <c r="D28" s="14" t="inlineStr">
        <is>
          <t>Brahman</t>
        </is>
      </c>
      <c r="E28" s="14" t="inlineStr">
        <is>
          <t>F</t>
        </is>
      </c>
      <c r="F28" s="14" t="inlineStr">
        <is>
          <t>04 Jan 2026</t>
        </is>
      </c>
      <c r="G28" s="14" t="n">
        <v>2026</v>
      </c>
      <c r="H28" s="14" t="inlineStr">
        <is>
          <t>Makantase</t>
        </is>
      </c>
      <c r="I28" s="14" t="inlineStr">
        <is>
          <t>Boshomane</t>
        </is>
      </c>
      <c r="J28" s="14" t="inlineStr">
        <is>
          <t>Y</t>
        </is>
      </c>
      <c r="K28" s="14" t="inlineStr"/>
    </row>
    <row r="29">
      <c r="A29" s="13" t="n">
        <v>26</v>
      </c>
      <c r="B29" s="13" t="inlineStr">
        <is>
          <t>Mmadikrempe</t>
        </is>
      </c>
      <c r="C29" s="13" t="inlineStr">
        <is>
          <t>Tiki</t>
        </is>
      </c>
      <c r="D29" s="13" t="inlineStr">
        <is>
          <t>Brahman Cross</t>
        </is>
      </c>
      <c r="E29" s="13" t="inlineStr">
        <is>
          <t>F</t>
        </is>
      </c>
      <c r="F29" s="13" t="inlineStr">
        <is>
          <t>2020</t>
        </is>
      </c>
      <c r="G29" s="13" t="n">
        <v>2020</v>
      </c>
      <c r="H29" s="13" t="inlineStr"/>
      <c r="I29" s="13" t="inlineStr"/>
      <c r="J29" s="13" t="inlineStr"/>
      <c r="K29" s="13" t="inlineStr">
        <is>
          <t>Exchanged in for Pitoria+calf</t>
        </is>
      </c>
    </row>
    <row r="30">
      <c r="A30" s="13" t="n">
        <v>27</v>
      </c>
      <c r="B30" s="13" t="inlineStr">
        <is>
          <t>Surprise</t>
        </is>
      </c>
      <c r="C30" s="13" t="inlineStr"/>
      <c r="D30" s="13" t="inlineStr">
        <is>
          <t>Brahman Cross</t>
        </is>
      </c>
      <c r="E30" s="13" t="inlineStr">
        <is>
          <t>F</t>
        </is>
      </c>
      <c r="F30" s="13" t="inlineStr">
        <is>
          <t>Oct 2020</t>
        </is>
      </c>
      <c r="G30" s="13" t="n">
        <v>2020</v>
      </c>
      <c r="H30" s="13" t="inlineStr"/>
      <c r="I30" s="13" t="inlineStr"/>
      <c r="J30" s="13" t="inlineStr"/>
      <c r="K30" s="13" t="inlineStr"/>
    </row>
    <row r="31">
      <c r="A31" s="13" t="n">
        <v>28</v>
      </c>
      <c r="B31" s="13" t="inlineStr">
        <is>
          <t>Witkouse</t>
        </is>
      </c>
      <c r="C31" s="13" t="inlineStr"/>
      <c r="D31" s="13" t="inlineStr">
        <is>
          <t>Brahman Cross</t>
        </is>
      </c>
      <c r="E31" s="13" t="inlineStr">
        <is>
          <t>F</t>
        </is>
      </c>
      <c r="F31" s="13" t="inlineStr">
        <is>
          <t>May 2021</t>
        </is>
      </c>
      <c r="G31" s="13" t="n">
        <v>2021</v>
      </c>
      <c r="H31" s="13" t="inlineStr"/>
      <c r="I31" s="13" t="inlineStr"/>
      <c r="J31" s="13" t="inlineStr"/>
      <c r="K31" s="13" t="inlineStr"/>
    </row>
    <row r="32">
      <c r="A32" s="13" t="n">
        <v>29</v>
      </c>
      <c r="B32" s="13" t="inlineStr">
        <is>
          <t>Kalajane</t>
        </is>
      </c>
      <c r="C32" s="13" t="inlineStr"/>
      <c r="D32" s="13" t="inlineStr">
        <is>
          <t>Brahman Cross</t>
        </is>
      </c>
      <c r="E32" s="13" t="inlineStr">
        <is>
          <t>F</t>
        </is>
      </c>
      <c r="F32" s="13" t="inlineStr">
        <is>
          <t>Jan 2021</t>
        </is>
      </c>
      <c r="G32" s="13" t="n">
        <v>2021</v>
      </c>
      <c r="H32" s="13" t="inlineStr"/>
      <c r="I32" s="13" t="inlineStr"/>
      <c r="J32" s="13" t="inlineStr"/>
      <c r="K32" s="13" t="inlineStr"/>
    </row>
    <row r="33">
      <c r="A33" s="13" t="n">
        <v>30</v>
      </c>
      <c r="B33" s="13" t="inlineStr">
        <is>
          <t>Maitlhwana</t>
        </is>
      </c>
      <c r="C33" s="13" t="inlineStr"/>
      <c r="D33" s="13" t="inlineStr">
        <is>
          <t>Brahman Cross</t>
        </is>
      </c>
      <c r="E33" s="13" t="inlineStr">
        <is>
          <t>F</t>
        </is>
      </c>
      <c r="F33" s="13" t="inlineStr">
        <is>
          <t>Apr 2022</t>
        </is>
      </c>
      <c r="G33" s="13" t="n">
        <v>2022</v>
      </c>
      <c r="H33" s="13" t="inlineStr"/>
      <c r="I33" s="13" t="inlineStr"/>
      <c r="J33" s="13" t="inlineStr"/>
      <c r="K33" s="13" t="inlineStr"/>
    </row>
    <row r="34">
      <c r="A34" s="14" t="n">
        <v>31</v>
      </c>
      <c r="B34" s="14" t="inlineStr">
        <is>
          <t>Noxy</t>
        </is>
      </c>
      <c r="C34" s="14" t="inlineStr"/>
      <c r="D34" s="14" t="inlineStr">
        <is>
          <t>Brahman Cross</t>
        </is>
      </c>
      <c r="E34" s="14" t="inlineStr">
        <is>
          <t>F</t>
        </is>
      </c>
      <c r="F34" s="14" t="inlineStr">
        <is>
          <t>18 Aug 2023</t>
        </is>
      </c>
      <c r="G34" s="14" t="n">
        <v>2023</v>
      </c>
      <c r="H34" s="14" t="inlineStr">
        <is>
          <t>Lapi</t>
        </is>
      </c>
      <c r="I34" s="14" t="inlineStr">
        <is>
          <t>Boshomane</t>
        </is>
      </c>
      <c r="J34" s="14" t="inlineStr">
        <is>
          <t>Y</t>
        </is>
      </c>
      <c r="K34" s="14" t="inlineStr"/>
    </row>
    <row r="35">
      <c r="A35" s="14" t="n">
        <v>32</v>
      </c>
      <c r="B35" s="14" t="inlineStr">
        <is>
          <t>Poelo</t>
        </is>
      </c>
      <c r="C35" s="14" t="inlineStr">
        <is>
          <t>Matlhale</t>
        </is>
      </c>
      <c r="D35" s="14" t="inlineStr">
        <is>
          <t>Brahman Cross</t>
        </is>
      </c>
      <c r="E35" s="14" t="inlineStr">
        <is>
          <t>F</t>
        </is>
      </c>
      <c r="F35" s="14" t="inlineStr">
        <is>
          <t>13 Dec 2023</t>
        </is>
      </c>
      <c r="G35" s="14" t="n">
        <v>2023</v>
      </c>
      <c r="H35" s="14" t="inlineStr">
        <is>
          <t>Kalajane</t>
        </is>
      </c>
      <c r="I35" s="14" t="inlineStr">
        <is>
          <t>Boshomane</t>
        </is>
      </c>
      <c r="J35" s="14" t="inlineStr">
        <is>
          <t>Y</t>
        </is>
      </c>
      <c r="K35" s="14" t="inlineStr"/>
    </row>
    <row r="36">
      <c r="A36" s="14" t="n">
        <v>33</v>
      </c>
      <c r="B36" s="14" t="inlineStr">
        <is>
          <t>Motlalepula</t>
        </is>
      </c>
      <c r="C36" s="14" t="inlineStr"/>
      <c r="D36" s="14" t="inlineStr">
        <is>
          <t>Brahman Cross</t>
        </is>
      </c>
      <c r="E36" s="14" t="inlineStr">
        <is>
          <t>F</t>
        </is>
      </c>
      <c r="F36" s="14" t="inlineStr">
        <is>
          <t>14 Nov 2024</t>
        </is>
      </c>
      <c r="G36" s="14" t="n">
        <v>2024</v>
      </c>
      <c r="H36" s="14" t="inlineStr">
        <is>
          <t>Lapi</t>
        </is>
      </c>
      <c r="I36" s="14" t="inlineStr">
        <is>
          <t>Boshomane</t>
        </is>
      </c>
      <c r="J36" s="14" t="inlineStr">
        <is>
          <t>Y</t>
        </is>
      </c>
      <c r="K36" s="14" t="inlineStr"/>
    </row>
    <row r="37">
      <c r="A37" s="14" t="n">
        <v>34</v>
      </c>
      <c r="B37" s="14" t="inlineStr">
        <is>
          <t>Rapula</t>
        </is>
      </c>
      <c r="C37" s="14" t="inlineStr"/>
      <c r="D37" s="14" t="inlineStr">
        <is>
          <t>Brahman Cross</t>
        </is>
      </c>
      <c r="E37" s="15" t="inlineStr">
        <is>
          <t>M</t>
        </is>
      </c>
      <c r="F37" s="14" t="inlineStr">
        <is>
          <t>18 Feb 2025</t>
        </is>
      </c>
      <c r="G37" s="14" t="n">
        <v>2025</v>
      </c>
      <c r="H37" s="14" t="inlineStr">
        <is>
          <t>Surprise</t>
        </is>
      </c>
      <c r="I37" s="14" t="inlineStr">
        <is>
          <t>Boshomane</t>
        </is>
      </c>
      <c r="J37" s="14" t="inlineStr">
        <is>
          <t>Y</t>
        </is>
      </c>
      <c r="K37" s="14" t="inlineStr">
        <is>
          <t>Sire candidate</t>
        </is>
      </c>
    </row>
    <row r="38">
      <c r="A38" s="14" t="n">
        <v>35</v>
      </c>
      <c r="B38" s="14" t="inlineStr">
        <is>
          <t>Makaku</t>
        </is>
      </c>
      <c r="C38" s="14" t="inlineStr"/>
      <c r="D38" s="14" t="inlineStr">
        <is>
          <t>Brahman Cross</t>
        </is>
      </c>
      <c r="E38" s="15" t="inlineStr">
        <is>
          <t>M</t>
        </is>
      </c>
      <c r="F38" s="14" t="inlineStr">
        <is>
          <t>16 Dec 2025</t>
        </is>
      </c>
      <c r="G38" s="14" t="n">
        <v>2025</v>
      </c>
      <c r="H38" s="14" t="inlineStr">
        <is>
          <t>Lebese</t>
        </is>
      </c>
      <c r="I38" s="14" t="inlineStr">
        <is>
          <t>Boshomane</t>
        </is>
      </c>
      <c r="J38" s="14" t="inlineStr">
        <is>
          <t>Y</t>
        </is>
      </c>
      <c r="K38" s="14" t="inlineStr">
        <is>
          <t>Sire candidate</t>
        </is>
      </c>
    </row>
    <row r="39">
      <c r="A39" s="14" t="n">
        <v>36</v>
      </c>
      <c r="B39" s="14" t="inlineStr">
        <is>
          <t>Mpolokeng</t>
        </is>
      </c>
      <c r="C39" s="14" t="inlineStr"/>
      <c r="D39" s="14" t="inlineStr">
        <is>
          <t>Brahman Cross</t>
        </is>
      </c>
      <c r="E39" s="14" t="inlineStr">
        <is>
          <t>F</t>
        </is>
      </c>
      <c r="F39" s="14" t="inlineStr">
        <is>
          <t>06 Nov 2025</t>
        </is>
      </c>
      <c r="G39" s="14" t="n">
        <v>2025</v>
      </c>
      <c r="H39" s="14" t="inlineStr">
        <is>
          <t>Maitlhwana</t>
        </is>
      </c>
      <c r="I39" s="14" t="inlineStr">
        <is>
          <t>Boshomane</t>
        </is>
      </c>
      <c r="J39" s="14" t="inlineStr">
        <is>
          <t>Y</t>
        </is>
      </c>
      <c r="K39" s="14" t="inlineStr"/>
    </row>
    <row r="40">
      <c r="A40" s="14" t="n">
        <v>37</v>
      </c>
      <c r="B40" s="14" t="inlineStr">
        <is>
          <t>Bontle</t>
        </is>
      </c>
      <c r="C40" s="14" t="inlineStr"/>
      <c r="D40" s="14" t="inlineStr">
        <is>
          <t>Brahman Cross</t>
        </is>
      </c>
      <c r="E40" s="14" t="inlineStr">
        <is>
          <t>F</t>
        </is>
      </c>
      <c r="F40" s="14" t="inlineStr">
        <is>
          <t>20 Feb 2026</t>
        </is>
      </c>
      <c r="G40" s="14" t="n">
        <v>2026</v>
      </c>
      <c r="H40" s="14" t="inlineStr">
        <is>
          <t>Kgetlheng</t>
        </is>
      </c>
      <c r="I40" s="14" t="inlineStr">
        <is>
          <t>Boshomane</t>
        </is>
      </c>
      <c r="J40" s="14" t="inlineStr">
        <is>
          <t>Y</t>
        </is>
      </c>
      <c r="K40" s="14" t="inlineStr"/>
    </row>
    <row r="41">
      <c r="A41" s="14" t="n">
        <v>38</v>
      </c>
      <c r="B41" s="14" t="inlineStr">
        <is>
          <t>Lesedi</t>
        </is>
      </c>
      <c r="C41" s="14" t="inlineStr"/>
      <c r="D41" s="14" t="inlineStr">
        <is>
          <t>Brahman Cross</t>
        </is>
      </c>
      <c r="E41" s="15" t="inlineStr">
        <is>
          <t>M</t>
        </is>
      </c>
      <c r="F41" s="14" t="inlineStr">
        <is>
          <t>14 May 2026</t>
        </is>
      </c>
      <c r="G41" s="14" t="n">
        <v>2026</v>
      </c>
      <c r="H41" s="14" t="inlineStr">
        <is>
          <t>Kalajane</t>
        </is>
      </c>
      <c r="I41" s="14" t="inlineStr">
        <is>
          <t>Boshomane</t>
        </is>
      </c>
      <c r="J41" s="14" t="inlineStr">
        <is>
          <t>Y</t>
        </is>
      </c>
      <c r="K41" s="14" t="inlineStr"/>
    </row>
    <row r="42">
      <c r="A42" s="13" t="n">
        <v>39</v>
      </c>
      <c r="B42" s="13" t="inlineStr">
        <is>
          <t>Lapi</t>
        </is>
      </c>
      <c r="C42" s="13" t="inlineStr">
        <is>
          <t>Lapa</t>
        </is>
      </c>
      <c r="D42" s="13" t="inlineStr">
        <is>
          <t>Mix Breed</t>
        </is>
      </c>
      <c r="E42" s="13" t="inlineStr">
        <is>
          <t>F</t>
        </is>
      </c>
      <c r="F42" s="13" t="inlineStr">
        <is>
          <t>Jun 2020</t>
        </is>
      </c>
      <c r="G42" s="13" t="n">
        <v>2020</v>
      </c>
      <c r="H42" s="13" t="inlineStr"/>
      <c r="I42" s="13" t="inlineStr"/>
      <c r="J42" s="13" t="inlineStr"/>
      <c r="K42" s="13" t="inlineStr"/>
    </row>
    <row r="43">
      <c r="A43" s="13" t="n">
        <v>40</v>
      </c>
      <c r="B43" s="13" t="inlineStr">
        <is>
          <t>Lebese</t>
        </is>
      </c>
      <c r="C43" s="13" t="inlineStr"/>
      <c r="D43" s="13" t="inlineStr">
        <is>
          <t>Mix Breed</t>
        </is>
      </c>
      <c r="E43" s="13" t="inlineStr">
        <is>
          <t>F</t>
        </is>
      </c>
      <c r="F43" s="13" t="inlineStr">
        <is>
          <t>Dec 2021</t>
        </is>
      </c>
      <c r="G43" s="13" t="n">
        <v>2021</v>
      </c>
      <c r="H43" s="13" t="inlineStr"/>
      <c r="I43" s="13" t="inlineStr"/>
      <c r="J43" s="13" t="inlineStr"/>
      <c r="K43" s="13" t="inlineStr"/>
    </row>
    <row r="45">
      <c r="A45" s="3" t="inlineStr">
        <is>
          <t>Total active</t>
        </is>
      </c>
      <c r="B45" s="3">
        <f>COUNTA(B4:B43)</f>
        <v/>
      </c>
    </row>
    <row r="46">
      <c r="A46" s="3" t="inlineStr">
        <is>
          <t>Females (F)</t>
        </is>
      </c>
      <c r="B46" s="3">
        <f>COUNTIF(E4:E43,"F")</f>
        <v/>
      </c>
    </row>
    <row r="47">
      <c r="A47" s="3" t="inlineStr">
        <is>
          <t>Males (M)</t>
        </is>
      </c>
      <c r="B47" s="3">
        <f>COUNTIF(E4:E43,"M")</f>
        <v/>
      </c>
    </row>
    <row r="48">
      <c r="A48" s="3" t="inlineStr">
        <is>
          <t>Boshomane-sired</t>
        </is>
      </c>
      <c r="B48" s="3">
        <f>COUNTIF(J4:J43,"Y")</f>
        <v/>
      </c>
    </row>
    <row r="50">
      <c r="A50" s="4" t="inlineStr">
        <is>
          <t>Pending</t>
        </is>
      </c>
    </row>
    <row r="51">
      <c r="A51" s="16" t="inlineStr">
        <is>
          <t>Obakeng owes a cow.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R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2" customWidth="1" min="4" max="4"/>
    <col width="8" customWidth="1" min="5" max="5"/>
    <col width="9" customWidth="1" min="6" max="6"/>
    <col width="7" customWidth="1" min="7" max="7"/>
    <col width="7" customWidth="1" min="8" max="8"/>
    <col width="10" customWidth="1" min="9" max="9"/>
    <col width="10" customWidth="1" min="10" max="10"/>
    <col width="11" customWidth="1" min="11" max="11"/>
    <col width="12" customWidth="1" min="12" max="12"/>
    <col width="9" customWidth="1" min="13" max="13"/>
    <col width="13" customWidth="1" min="14" max="14"/>
    <col width="12" customWidth="1" min="15" max="15"/>
    <col width="6" customWidth="1" min="16" max="16"/>
    <col width="32" customWidth="1" min="17" max="17"/>
    <col width="60" customWidth="1" min="18" max="18"/>
  </cols>
  <sheetData>
    <row r="1">
      <c r="A1" s="1" t="inlineStr">
        <is>
          <t>Breeding Cow Performance — Ranked Top to Bottom</t>
        </is>
      </c>
    </row>
    <row r="2">
      <c r="A2" s="17" t="inlineStr">
        <is>
          <t>As of 2026-05-25. Sort/filter freely — colours indicate tier.</t>
        </is>
      </c>
    </row>
    <row r="4" ht="36" customHeight="1">
      <c r="A4" s="12" t="inlineStr">
        <is>
          <t>Rank</t>
        </is>
      </c>
      <c r="B4" s="12" t="inlineStr">
        <is>
          <t>Cow</t>
        </is>
      </c>
      <c r="C4" s="12" t="inlineStr">
        <is>
          <t>Aliases</t>
        </is>
      </c>
      <c r="D4" s="12" t="inlineStr">
        <is>
          <t>DOB</t>
        </is>
      </c>
      <c r="E4" s="12" t="inlineStr">
        <is>
          <t>Age (yrs)</t>
        </is>
      </c>
      <c r="F4" s="12" t="inlineStr">
        <is>
          <t>Productive Yrs</t>
        </is>
      </c>
      <c r="G4" s="12" t="inlineStr">
        <is>
          <t>Calves</t>
        </is>
      </c>
      <c r="H4" s="12" t="inlineStr">
        <is>
          <t>Calves Alive</t>
        </is>
      </c>
      <c r="I4" s="12" t="inlineStr">
        <is>
          <t>Calves/Prod.Yr</t>
        </is>
      </c>
      <c r="J4" s="12" t="inlineStr">
        <is>
          <t>Age @ First Calf</t>
        </is>
      </c>
      <c r="K4" s="12" t="inlineStr">
        <is>
          <t>Avg Interval (mo)</t>
        </is>
      </c>
      <c r="L4" s="12" t="inlineStr">
        <is>
          <t>Last Calving</t>
        </is>
      </c>
      <c r="M4" s="12" t="inlineStr">
        <is>
          <t>Months Since</t>
        </is>
      </c>
      <c r="N4" s="12" t="inlineStr">
        <is>
          <t>Pregnancy Status</t>
        </is>
      </c>
      <c r="O4" s="12" t="inlineStr">
        <is>
          <t>Due</t>
        </is>
      </c>
      <c r="P4" s="12" t="inlineStr">
        <is>
          <t>Tier</t>
        </is>
      </c>
      <c r="Q4" s="12" t="inlineStr">
        <is>
          <t>Action</t>
        </is>
      </c>
      <c r="R4" s="12" t="inlineStr">
        <is>
          <t>Notes</t>
        </is>
      </c>
    </row>
    <row r="5">
      <c r="A5" s="13" t="n">
        <v>1</v>
      </c>
      <c r="B5" s="13" t="inlineStr">
        <is>
          <t>Serena</t>
        </is>
      </c>
      <c r="C5" s="13" t="inlineStr"/>
      <c r="D5" s="18" t="n">
        <v>44927</v>
      </c>
      <c r="E5" s="19" t="n">
        <v>3.4</v>
      </c>
      <c r="F5" s="19" t="n">
        <v>1.4</v>
      </c>
      <c r="G5" s="13" t="n">
        <v>1</v>
      </c>
      <c r="H5" s="13" t="n">
        <v>1</v>
      </c>
      <c r="I5" s="20" t="n">
        <v>0.72</v>
      </c>
      <c r="J5" s="19" t="n">
        <v>2.8</v>
      </c>
      <c r="K5" s="19" t="inlineStr"/>
      <c r="L5" s="18" t="n">
        <v>45955</v>
      </c>
      <c r="M5" s="21" t="n">
        <v>7</v>
      </c>
      <c r="N5" s="22" t="inlineStr">
        <is>
          <t>Open</t>
        </is>
      </c>
      <c r="O5" s="18" t="inlineStr"/>
      <c r="P5" s="23" t="inlineStr">
        <is>
          <t>A</t>
        </is>
      </c>
      <c r="Q5" s="13" t="inlineStr">
        <is>
          <t>KEEP - prove next interval</t>
        </is>
      </c>
      <c r="R5" s="13" t="inlineStr">
        <is>
          <t>First calf at age 2.8 = precocious. Re-breed urgently.</t>
        </is>
      </c>
    </row>
    <row r="6">
      <c r="A6" s="13" t="n">
        <v>2</v>
      </c>
      <c r="B6" s="13" t="inlineStr">
        <is>
          <t>Nandipha Magudumana</t>
        </is>
      </c>
      <c r="C6" s="13" t="inlineStr"/>
      <c r="D6" s="18" t="n">
        <v>44927</v>
      </c>
      <c r="E6" s="19" t="n">
        <v>3.4</v>
      </c>
      <c r="F6" s="19" t="n">
        <v>1.4</v>
      </c>
      <c r="G6" s="13" t="n">
        <v>1</v>
      </c>
      <c r="H6" s="13" t="n">
        <v>1</v>
      </c>
      <c r="I6" s="20" t="n">
        <v>0.72</v>
      </c>
      <c r="J6" s="19" t="n">
        <v>2.9</v>
      </c>
      <c r="K6" s="19" t="inlineStr"/>
      <c r="L6" s="18" t="n">
        <v>45980</v>
      </c>
      <c r="M6" s="21" t="n">
        <v>6.1</v>
      </c>
      <c r="N6" s="24" t="inlineStr">
        <is>
          <t>Confirmed</t>
        </is>
      </c>
      <c r="O6" s="18" t="inlineStr"/>
      <c r="P6" s="23" t="inlineStr">
        <is>
          <t>A</t>
        </is>
      </c>
      <c r="Q6" s="13" t="inlineStr">
        <is>
          <t>KEEP - prove next interval</t>
        </is>
      </c>
      <c r="R6" s="13" t="inlineStr">
        <is>
          <t>First calf at age 2.9 = precocious. Re-breed urgently.</t>
        </is>
      </c>
    </row>
    <row r="7">
      <c r="A7" s="13" t="n">
        <v>3</v>
      </c>
      <c r="B7" s="13" t="inlineStr">
        <is>
          <t>Kgetlheng</t>
        </is>
      </c>
      <c r="C7" s="13" t="inlineStr"/>
      <c r="D7" s="18" t="n">
        <v>43831</v>
      </c>
      <c r="E7" s="19" t="n">
        <v>6.4</v>
      </c>
      <c r="F7" s="19" t="n">
        <v>4.4</v>
      </c>
      <c r="G7" s="13" t="n">
        <v>3</v>
      </c>
      <c r="H7" s="13" t="n">
        <v>2</v>
      </c>
      <c r="I7" s="20" t="n">
        <v>0.68</v>
      </c>
      <c r="J7" s="19" t="n">
        <v>3.2</v>
      </c>
      <c r="K7" s="19" t="n">
        <v>17.3</v>
      </c>
      <c r="L7" s="18" t="n">
        <v>46073</v>
      </c>
      <c r="M7" s="21" t="n">
        <v>3.1</v>
      </c>
      <c r="N7" s="22" t="inlineStr">
        <is>
          <t>Open</t>
        </is>
      </c>
      <c r="O7" s="18" t="inlineStr"/>
      <c r="P7" s="23" t="inlineStr">
        <is>
          <t>A</t>
        </is>
      </c>
      <c r="Q7" s="13" t="inlineStr">
        <is>
          <t>KEEP - top breeder</t>
        </is>
      </c>
      <c r="R7" s="13" t="inlineStr">
        <is>
          <t>3 calves, ~17mo intervals, currently pregnant. Most consistent young cow.</t>
        </is>
      </c>
    </row>
    <row r="8">
      <c r="A8" s="13" t="n">
        <v>4</v>
      </c>
      <c r="B8" s="13" t="inlineStr">
        <is>
          <t>Makantase</t>
        </is>
      </c>
      <c r="C8" s="13" t="inlineStr"/>
      <c r="D8" s="18" t="n">
        <v>42736</v>
      </c>
      <c r="E8" s="19" t="n">
        <v>9.4</v>
      </c>
      <c r="F8" s="19" t="n">
        <v>7.4</v>
      </c>
      <c r="G8" s="13" t="n">
        <v>4</v>
      </c>
      <c r="H8" s="13" t="n">
        <v>4</v>
      </c>
      <c r="I8" s="20" t="n">
        <v>0.54</v>
      </c>
      <c r="J8" s="19" t="n">
        <v>4.8</v>
      </c>
      <c r="K8" s="19" t="n">
        <v>16.7</v>
      </c>
      <c r="L8" s="18" t="n">
        <v>46026</v>
      </c>
      <c r="M8" s="21" t="n">
        <v>4.6</v>
      </c>
      <c r="N8" s="24" t="inlineStr">
        <is>
          <t>Confirmed</t>
        </is>
      </c>
      <c r="O8" s="18" t="n">
        <v>46446</v>
      </c>
      <c r="P8" s="23" t="inlineStr">
        <is>
          <t>A</t>
        </is>
      </c>
      <c r="Q8" s="13" t="inlineStr">
        <is>
          <t>KEEP - top breeder</t>
        </is>
      </c>
      <c r="R8" s="13" t="inlineStr">
        <is>
          <t>4 calves, ~17mo intervals, currently pregnant. Best producer in herd.</t>
        </is>
      </c>
    </row>
    <row r="9">
      <c r="A9" s="13" t="n">
        <v>5</v>
      </c>
      <c r="B9" s="13" t="inlineStr">
        <is>
          <t>Lapi</t>
        </is>
      </c>
      <c r="C9" s="13" t="inlineStr">
        <is>
          <t>Lapa</t>
        </is>
      </c>
      <c r="D9" s="18" t="n">
        <v>43983</v>
      </c>
      <c r="E9" s="19" t="n">
        <v>6</v>
      </c>
      <c r="F9" s="19" t="n">
        <v>4</v>
      </c>
      <c r="G9" s="13" t="n">
        <v>2</v>
      </c>
      <c r="H9" s="13" t="n">
        <v>2</v>
      </c>
      <c r="I9" s="20" t="n">
        <v>0.5</v>
      </c>
      <c r="J9" s="19" t="n">
        <v>3.2</v>
      </c>
      <c r="K9" s="19" t="n">
        <v>14.9</v>
      </c>
      <c r="L9" s="18" t="n">
        <v>45610</v>
      </c>
      <c r="M9" s="21" t="n">
        <v>18.3</v>
      </c>
      <c r="N9" s="24" t="inlineStr">
        <is>
          <t>Confirmed</t>
        </is>
      </c>
      <c r="O9" s="18" t="n">
        <v>46203</v>
      </c>
      <c r="P9" s="23" t="inlineStr">
        <is>
          <t>A</t>
        </is>
      </c>
      <c r="Q9" s="13" t="inlineStr">
        <is>
          <t>KEEP - top breeder</t>
        </is>
      </c>
      <c r="R9" s="13" t="inlineStr">
        <is>
          <t>2 calves at 15mo interval, pregnant for 3rd. Excellent rebreeder.</t>
        </is>
      </c>
    </row>
    <row r="10">
      <c r="A10" s="13" t="n">
        <v>6</v>
      </c>
      <c r="B10" s="13" t="inlineStr">
        <is>
          <t>Kalajane</t>
        </is>
      </c>
      <c r="C10" s="13" t="inlineStr"/>
      <c r="D10" s="18" t="n">
        <v>44197</v>
      </c>
      <c r="E10" s="19" t="n">
        <v>5.4</v>
      </c>
      <c r="F10" s="19" t="n">
        <v>3.4</v>
      </c>
      <c r="G10" s="13" t="n">
        <v>2</v>
      </c>
      <c r="H10" s="13" t="n">
        <v>2</v>
      </c>
      <c r="I10" s="20" t="n">
        <v>0.59</v>
      </c>
      <c r="J10" s="19" t="n">
        <v>2.9</v>
      </c>
      <c r="K10" s="19" t="n">
        <v>29</v>
      </c>
      <c r="L10" s="18" t="n">
        <v>46156</v>
      </c>
      <c r="M10" s="21" t="n">
        <v>0.4</v>
      </c>
      <c r="N10" s="22" t="inlineStr">
        <is>
          <t>Open</t>
        </is>
      </c>
      <c r="O10" s="18" t="inlineStr"/>
      <c r="P10" s="25" t="inlineStr">
        <is>
          <t>B</t>
        </is>
      </c>
      <c r="Q10" s="13" t="inlineStr">
        <is>
          <t>KEEP - watch interval</t>
        </is>
      </c>
      <c r="R10" s="13" t="inlineStr">
        <is>
          <t>First calf age 2.9 = precocious, but 29mo to second calf is long. Just calved May 2026.</t>
        </is>
      </c>
    </row>
    <row r="11">
      <c r="A11" s="13" t="n">
        <v>7</v>
      </c>
      <c r="B11" s="13" t="inlineStr">
        <is>
          <t>Surprise</t>
        </is>
      </c>
      <c r="C11" s="13" t="inlineStr"/>
      <c r="D11" s="18" t="n">
        <v>44105</v>
      </c>
      <c r="E11" s="19" t="n">
        <v>5.6</v>
      </c>
      <c r="F11" s="19" t="n">
        <v>3.6</v>
      </c>
      <c r="G11" s="13" t="n">
        <v>2</v>
      </c>
      <c r="H11" s="13" t="n">
        <v>1</v>
      </c>
      <c r="I11" s="20" t="n">
        <v>0.55</v>
      </c>
      <c r="J11" s="19" t="n">
        <v>4.4</v>
      </c>
      <c r="K11" s="19" t="inlineStr"/>
      <c r="L11" s="18" t="n">
        <v>45706</v>
      </c>
      <c r="M11" s="21" t="n">
        <v>15.1</v>
      </c>
      <c r="N11" s="24" t="inlineStr">
        <is>
          <t>Confirmed</t>
        </is>
      </c>
      <c r="O11" s="18" t="n">
        <v>46238</v>
      </c>
      <c r="P11" s="25" t="inlineStr">
        <is>
          <t>B</t>
        </is>
      </c>
      <c r="Q11" s="13" t="inlineStr">
        <is>
          <t>KEEP</t>
        </is>
      </c>
      <c r="R11" s="13" t="inlineStr">
        <is>
          <t>At least 2 calves, pregnant. Steady.</t>
        </is>
      </c>
    </row>
    <row r="12">
      <c r="A12" s="13" t="n">
        <v>8</v>
      </c>
      <c r="B12" s="13" t="inlineStr">
        <is>
          <t>Maitlhwana</t>
        </is>
      </c>
      <c r="C12" s="13" t="inlineStr"/>
      <c r="D12" s="18" t="n">
        <v>44652</v>
      </c>
      <c r="E12" s="19" t="n">
        <v>4.1</v>
      </c>
      <c r="F12" s="19" t="n">
        <v>2.1</v>
      </c>
      <c r="G12" s="13" t="n">
        <v>1</v>
      </c>
      <c r="H12" s="13" t="n">
        <v>1</v>
      </c>
      <c r="I12" s="20" t="n">
        <v>0.47</v>
      </c>
      <c r="J12" s="19" t="n">
        <v>3.6</v>
      </c>
      <c r="K12" s="19" t="inlineStr"/>
      <c r="L12" s="18" t="n">
        <v>45967</v>
      </c>
      <c r="M12" s="21" t="n">
        <v>6.6</v>
      </c>
      <c r="N12" s="22" t="inlineStr">
        <is>
          <t>Open</t>
        </is>
      </c>
      <c r="O12" s="18" t="inlineStr"/>
      <c r="P12" s="25" t="inlineStr">
        <is>
          <t>B</t>
        </is>
      </c>
      <c r="Q12" s="13" t="inlineStr">
        <is>
          <t>KEEP - prove next interval</t>
        </is>
      </c>
      <c r="R12" s="13" t="inlineStr">
        <is>
          <t>First calf age 3.6 (average). Watch next service.</t>
        </is>
      </c>
    </row>
    <row r="13">
      <c r="A13" s="13" t="n">
        <v>9</v>
      </c>
      <c r="B13" s="13" t="inlineStr">
        <is>
          <t>Zondi</t>
        </is>
      </c>
      <c r="C13" s="13" t="inlineStr"/>
      <c r="D13" s="18" t="n">
        <v>43831</v>
      </c>
      <c r="E13" s="19" t="n">
        <v>6.4</v>
      </c>
      <c r="F13" s="19" t="n">
        <v>4.4</v>
      </c>
      <c r="G13" s="13" t="n">
        <v>2</v>
      </c>
      <c r="H13" s="13" t="n">
        <v>2</v>
      </c>
      <c r="I13" s="20" t="n">
        <v>0.46</v>
      </c>
      <c r="J13" s="19" t="n">
        <v>3.9</v>
      </c>
      <c r="K13" s="19" t="n">
        <v>20</v>
      </c>
      <c r="L13" s="18" t="n">
        <v>45881</v>
      </c>
      <c r="M13" s="21" t="n">
        <v>9.4</v>
      </c>
      <c r="N13" s="24" t="inlineStr">
        <is>
          <t>Confirmed</t>
        </is>
      </c>
      <c r="O13" s="18" t="n">
        <v>46386</v>
      </c>
      <c r="P13" s="25" t="inlineStr">
        <is>
          <t>B</t>
        </is>
      </c>
      <c r="Q13" s="13" t="inlineStr">
        <is>
          <t>KEEP</t>
        </is>
      </c>
      <c r="R13" s="13" t="inlineStr">
        <is>
          <t>2 calves, 20mo interval, pregnant. Solid producer.</t>
        </is>
      </c>
    </row>
    <row r="14">
      <c r="A14" s="13" t="n">
        <v>10</v>
      </c>
      <c r="B14" s="13" t="inlineStr">
        <is>
          <t>Mantabole</t>
        </is>
      </c>
      <c r="C14" s="13" t="inlineStr"/>
      <c r="D14" s="18" t="n">
        <v>43831</v>
      </c>
      <c r="E14" s="19" t="n">
        <v>6.4</v>
      </c>
      <c r="F14" s="19" t="n">
        <v>4.4</v>
      </c>
      <c r="G14" s="13" t="n">
        <v>2</v>
      </c>
      <c r="H14" s="13" t="n">
        <v>2</v>
      </c>
      <c r="I14" s="20" t="n">
        <v>0.46</v>
      </c>
      <c r="J14" s="19" t="n">
        <v>3.2</v>
      </c>
      <c r="K14" s="19" t="n">
        <v>30</v>
      </c>
      <c r="L14" s="18" t="n">
        <v>45899</v>
      </c>
      <c r="M14" s="21" t="n">
        <v>8.800000000000001</v>
      </c>
      <c r="N14" s="24" t="inlineStr">
        <is>
          <t>Confirmed</t>
        </is>
      </c>
      <c r="O14" s="18" t="n">
        <v>46295</v>
      </c>
      <c r="P14" s="25" t="inlineStr">
        <is>
          <t>B</t>
        </is>
      </c>
      <c r="Q14" s="13" t="inlineStr">
        <is>
          <t>KEEP</t>
        </is>
      </c>
      <c r="R14" s="13" t="inlineStr">
        <is>
          <t>2 calves with 30mo gap; pregnant again - improving.</t>
        </is>
      </c>
    </row>
    <row r="15">
      <c r="A15" s="13" t="n">
        <v>11</v>
      </c>
      <c r="B15" s="13" t="inlineStr">
        <is>
          <t>Makantase Jr</t>
        </is>
      </c>
      <c r="C15" s="13" t="inlineStr">
        <is>
          <t>Junior</t>
        </is>
      </c>
      <c r="D15" s="18" t="n">
        <v>44501</v>
      </c>
      <c r="E15" s="19" t="n">
        <v>4.6</v>
      </c>
      <c r="F15" s="19" t="n">
        <v>2.6</v>
      </c>
      <c r="G15" s="13" t="n">
        <v>1</v>
      </c>
      <c r="H15" s="13" t="n">
        <v>0</v>
      </c>
      <c r="I15" s="20" t="n">
        <v>0.39</v>
      </c>
      <c r="J15" s="19" t="n">
        <v>4</v>
      </c>
      <c r="K15" s="19" t="inlineStr"/>
      <c r="L15" s="18" t="n">
        <v>45976</v>
      </c>
      <c r="M15" s="21" t="n">
        <v>6.3</v>
      </c>
      <c r="N15" s="24" t="inlineStr">
        <is>
          <t>Confirmed</t>
        </is>
      </c>
      <c r="O15" s="18" t="n">
        <v>46335</v>
      </c>
      <c r="P15" s="25" t="inlineStr">
        <is>
          <t>B</t>
        </is>
      </c>
      <c r="Q15" s="13" t="inlineStr">
        <is>
          <t>KEEP</t>
        </is>
      </c>
      <c r="R15" s="13" t="inlineStr">
        <is>
          <t>Lost first calf Madlisa Nov 2025; pregnant again. Resilient.</t>
        </is>
      </c>
    </row>
    <row r="16">
      <c r="A16" s="13" t="n">
        <v>12</v>
      </c>
      <c r="B16" s="13" t="inlineStr">
        <is>
          <t>Lebese</t>
        </is>
      </c>
      <c r="C16" s="13" t="inlineStr"/>
      <c r="D16" s="18" t="n">
        <v>44531</v>
      </c>
      <c r="E16" s="19" t="n">
        <v>4.5</v>
      </c>
      <c r="F16" s="19" t="n">
        <v>2.5</v>
      </c>
      <c r="G16" s="13" t="n">
        <v>1</v>
      </c>
      <c r="H16" s="13" t="n">
        <v>1</v>
      </c>
      <c r="I16" s="20" t="n">
        <v>0.4</v>
      </c>
      <c r="J16" s="19" t="n">
        <v>4</v>
      </c>
      <c r="K16" s="19" t="inlineStr"/>
      <c r="L16" s="18" t="n">
        <v>46007</v>
      </c>
      <c r="M16" s="21" t="n">
        <v>5.3</v>
      </c>
      <c r="N16" s="22" t="inlineStr">
        <is>
          <t>Open</t>
        </is>
      </c>
      <c r="O16" s="18" t="inlineStr"/>
      <c r="P16" s="26" t="inlineStr">
        <is>
          <t>C</t>
        </is>
      </c>
      <c r="Q16" s="13" t="inlineStr">
        <is>
          <t>KEEP - monitor</t>
        </is>
      </c>
      <c r="R16" s="13" t="inlineStr">
        <is>
          <t>First calf age 4.0 (LATE). Needs to prove next interval.</t>
        </is>
      </c>
    </row>
    <row r="17">
      <c r="A17" s="13" t="n">
        <v>13</v>
      </c>
      <c r="B17" s="13" t="inlineStr">
        <is>
          <t>Mpho</t>
        </is>
      </c>
      <c r="C17" s="13" t="inlineStr"/>
      <c r="D17" s="18" t="n">
        <v>44440</v>
      </c>
      <c r="E17" s="19" t="n">
        <v>4.7</v>
      </c>
      <c r="F17" s="19" t="n">
        <v>2.7</v>
      </c>
      <c r="G17" s="13" t="n">
        <v>1</v>
      </c>
      <c r="H17" s="13" t="n">
        <v>0</v>
      </c>
      <c r="I17" s="20" t="n">
        <v>0.37</v>
      </c>
      <c r="J17" s="19" t="n">
        <v>3</v>
      </c>
      <c r="K17" s="19" t="inlineStr"/>
      <c r="L17" s="18" t="n">
        <v>45545</v>
      </c>
      <c r="M17" s="21" t="n">
        <v>20.4</v>
      </c>
      <c r="N17" s="24" t="inlineStr">
        <is>
          <t>Confirmed</t>
        </is>
      </c>
      <c r="O17" s="18" t="n">
        <v>46387</v>
      </c>
      <c r="P17" s="26" t="inlineStr">
        <is>
          <t>C</t>
        </is>
      </c>
      <c r="Q17" s="13" t="inlineStr">
        <is>
          <t>KEEP - monitor</t>
        </is>
      </c>
      <c r="R17" s="13" t="inlineStr">
        <is>
          <t>Only 1 calf at age 3 (sold). Pregnant for 2nd at age 5. Slow rebreeder.</t>
        </is>
      </c>
    </row>
    <row r="18">
      <c r="A18" s="13" t="n">
        <v>14</v>
      </c>
      <c r="B18" s="13" t="inlineStr">
        <is>
          <t>Witkouse</t>
        </is>
      </c>
      <c r="C18" s="13" t="inlineStr"/>
      <c r="D18" s="18" t="n">
        <v>44317</v>
      </c>
      <c r="E18" s="19" t="n">
        <v>5.1</v>
      </c>
      <c r="F18" s="19" t="n">
        <v>3.1</v>
      </c>
      <c r="G18" s="13" t="n">
        <v>1</v>
      </c>
      <c r="H18" s="13" t="n">
        <v>0</v>
      </c>
      <c r="I18" s="20" t="n">
        <v>0.33</v>
      </c>
      <c r="J18" s="19" t="n">
        <v>3.6</v>
      </c>
      <c r="K18" s="19" t="inlineStr"/>
      <c r="L18" s="18" t="n">
        <v>45635</v>
      </c>
      <c r="M18" s="21" t="n">
        <v>17.5</v>
      </c>
      <c r="N18" s="24" t="inlineStr">
        <is>
          <t>Confirmed</t>
        </is>
      </c>
      <c r="O18" s="18" t="n">
        <v>46386</v>
      </c>
      <c r="P18" s="26" t="inlineStr">
        <is>
          <t>C</t>
        </is>
      </c>
      <c r="Q18" s="13" t="inlineStr">
        <is>
          <t>KEEP - monitor</t>
        </is>
      </c>
      <c r="R18" s="13" t="inlineStr">
        <is>
          <t>1 calf at age 3.6 (sold). Pregnant. Watch this interval.</t>
        </is>
      </c>
    </row>
    <row r="19">
      <c r="A19" s="13" t="n">
        <v>15</v>
      </c>
      <c r="B19" s="13" t="inlineStr">
        <is>
          <t>Georgina</t>
        </is>
      </c>
      <c r="C19" s="13" t="inlineStr">
        <is>
          <t>Springbok</t>
        </is>
      </c>
      <c r="D19" s="18" t="n">
        <v>43831</v>
      </c>
      <c r="E19" s="19" t="n">
        <v>6.4</v>
      </c>
      <c r="F19" s="19" t="n">
        <v>4.4</v>
      </c>
      <c r="G19" s="13" t="n">
        <v>1</v>
      </c>
      <c r="H19" s="13" t="n">
        <v>1</v>
      </c>
      <c r="I19" s="20" t="n">
        <v>0.23</v>
      </c>
      <c r="J19" s="19" t="n">
        <v>4.7</v>
      </c>
      <c r="K19" s="19" t="inlineStr"/>
      <c r="L19" s="18" t="n">
        <v>45531</v>
      </c>
      <c r="M19" s="21" t="n">
        <v>20.9</v>
      </c>
      <c r="N19" s="24" t="inlineStr">
        <is>
          <t>Confirmed</t>
        </is>
      </c>
      <c r="O19" s="18" t="n">
        <v>46203</v>
      </c>
      <c r="P19" s="27" t="inlineStr">
        <is>
          <t>D</t>
        </is>
      </c>
      <c r="Q19" s="28" t="inlineStr">
        <is>
          <t>WATCH - borderline cull</t>
        </is>
      </c>
      <c r="R19" s="13" t="inlineStr">
        <is>
          <t>1 calf in 6 years (age 4.6 at first). Pregnant for 2nd. CULL if interval &gt; 18mo.</t>
        </is>
      </c>
    </row>
    <row r="20">
      <c r="A20" s="13" t="n">
        <v>16</v>
      </c>
      <c r="B20" s="13" t="inlineStr">
        <is>
          <t>Mmadikrempe</t>
        </is>
      </c>
      <c r="C20" s="13" t="inlineStr">
        <is>
          <t>Tiki</t>
        </is>
      </c>
      <c r="D20" s="18" t="n">
        <v>43831</v>
      </c>
      <c r="E20" s="19" t="n">
        <v>6.4</v>
      </c>
      <c r="F20" s="19" t="n">
        <v>4.4</v>
      </c>
      <c r="G20" s="13" t="n">
        <v>1</v>
      </c>
      <c r="H20" s="13" t="n">
        <v>0</v>
      </c>
      <c r="I20" s="20" t="n">
        <v>0.23</v>
      </c>
      <c r="J20" s="19" t="n">
        <v>4.7</v>
      </c>
      <c r="K20" s="19" t="inlineStr"/>
      <c r="L20" s="18" t="n">
        <v>45554</v>
      </c>
      <c r="M20" s="21" t="n">
        <v>20.1</v>
      </c>
      <c r="N20" s="24" t="inlineStr">
        <is>
          <t>Confirmed</t>
        </is>
      </c>
      <c r="O20" s="18" t="n">
        <v>46203</v>
      </c>
      <c r="P20" s="27" t="inlineStr">
        <is>
          <t>D</t>
        </is>
      </c>
      <c r="Q20" s="28" t="inlineStr">
        <is>
          <t>WATCH - borderline cull</t>
        </is>
      </c>
      <c r="R20" s="13" t="inlineStr">
        <is>
          <t>1 calf at age 4.7 (sold). Pregnant. CULL if interval &gt; 18mo.</t>
        </is>
      </c>
    </row>
    <row r="21">
      <c r="A21" s="13" t="n">
        <v>17</v>
      </c>
      <c r="B21" s="13" t="inlineStr">
        <is>
          <t>Baizani</t>
        </is>
      </c>
      <c r="C21" s="13" t="inlineStr"/>
      <c r="D21" s="18" t="n">
        <v>43862</v>
      </c>
      <c r="E21" s="19" t="n">
        <v>6.3</v>
      </c>
      <c r="F21" s="19" t="n">
        <v>4.3</v>
      </c>
      <c r="G21" s="13" t="n">
        <v>1</v>
      </c>
      <c r="H21" s="13" t="n">
        <v>1</v>
      </c>
      <c r="I21" s="20" t="n">
        <v>0.23</v>
      </c>
      <c r="J21" s="19" t="n">
        <v>4.7</v>
      </c>
      <c r="K21" s="19" t="inlineStr"/>
      <c r="L21" s="18" t="n">
        <v>45593</v>
      </c>
      <c r="M21" s="21" t="n">
        <v>18.9</v>
      </c>
      <c r="N21" s="24" t="inlineStr">
        <is>
          <t>Confirmed</t>
        </is>
      </c>
      <c r="O21" s="18" t="n">
        <v>46205</v>
      </c>
      <c r="P21" s="27" t="inlineStr">
        <is>
          <t>D</t>
        </is>
      </c>
      <c r="Q21" s="28" t="inlineStr">
        <is>
          <t>WATCH - borderline cull</t>
        </is>
      </c>
      <c r="R21" s="13" t="inlineStr">
        <is>
          <t>First calf age 4.7 (LATE). Pregnant for 2nd. CULL if interval &gt; 18mo.</t>
        </is>
      </c>
    </row>
    <row r="22">
      <c r="A22" s="13" t="n">
        <v>18</v>
      </c>
      <c r="B22" s="13" t="inlineStr">
        <is>
          <t>Venus</t>
        </is>
      </c>
      <c r="C22" s="13" t="inlineStr"/>
      <c r="D22" s="18" t="n">
        <v>44927</v>
      </c>
      <c r="E22" s="19" t="n">
        <v>3.4</v>
      </c>
      <c r="F22" s="19" t="n">
        <v>1.4</v>
      </c>
      <c r="G22" s="13" t="n">
        <v>0</v>
      </c>
      <c r="H22" s="13" t="n">
        <v>0</v>
      </c>
      <c r="I22" s="20" t="n">
        <v>0</v>
      </c>
      <c r="J22" s="19" t="inlineStr"/>
      <c r="K22" s="19" t="inlineStr"/>
      <c r="L22" s="18" t="inlineStr"/>
      <c r="M22" s="21" t="inlineStr"/>
      <c r="N22" s="22" t="inlineStr">
        <is>
          <t>Open</t>
        </is>
      </c>
      <c r="O22" s="18" t="inlineStr"/>
      <c r="P22" s="29" t="inlineStr">
        <is>
          <t>E</t>
        </is>
      </c>
      <c r="Q22" s="28" t="inlineStr">
        <is>
          <t>ACTION - confirm pregnant or SELL</t>
        </is>
      </c>
      <c r="R22" s="13" t="inlineStr">
        <is>
          <t>Born 2023, age 3.4, no calf recorded. If still open at age 4, cull.</t>
        </is>
      </c>
    </row>
    <row r="23">
      <c r="A23" s="13" t="n">
        <v>19</v>
      </c>
      <c r="B23" s="13" t="inlineStr">
        <is>
          <t>Coco Gauff</t>
        </is>
      </c>
      <c r="C23" s="13" t="inlineStr"/>
      <c r="D23" s="18" t="n">
        <v>44927</v>
      </c>
      <c r="E23" s="19" t="n">
        <v>3.4</v>
      </c>
      <c r="F23" s="19" t="n">
        <v>1.4</v>
      </c>
      <c r="G23" s="13" t="n">
        <v>0</v>
      </c>
      <c r="H23" s="13" t="n">
        <v>0</v>
      </c>
      <c r="I23" s="20" t="n">
        <v>0</v>
      </c>
      <c r="J23" s="19" t="inlineStr"/>
      <c r="K23" s="19" t="inlineStr"/>
      <c r="L23" s="18" t="inlineStr"/>
      <c r="M23" s="21" t="inlineStr"/>
      <c r="N23" s="22" t="inlineStr">
        <is>
          <t>Open</t>
        </is>
      </c>
      <c r="O23" s="18" t="inlineStr"/>
      <c r="P23" s="29" t="inlineStr">
        <is>
          <t>E</t>
        </is>
      </c>
      <c r="Q23" s="28" t="inlineStr">
        <is>
          <t>ACTION - confirm pregnant or SELL</t>
        </is>
      </c>
      <c r="R23" s="13" t="inlineStr">
        <is>
          <t>Born 2023, age 3.4, no calf recorded. If still open at age 4, cull.</t>
        </is>
      </c>
    </row>
    <row r="24">
      <c r="A24" s="13" t="n">
        <v>20</v>
      </c>
      <c r="B24" s="13" t="inlineStr">
        <is>
          <t>Lerato Makantase</t>
        </is>
      </c>
      <c r="C24" s="13" t="inlineStr">
        <is>
          <t>Thando</t>
        </is>
      </c>
      <c r="D24" s="18" t="n">
        <v>44960</v>
      </c>
      <c r="E24" s="19" t="n">
        <v>3.3</v>
      </c>
      <c r="F24" s="19" t="n">
        <v>1.3</v>
      </c>
      <c r="G24" s="13" t="n">
        <v>0</v>
      </c>
      <c r="H24" s="13" t="n">
        <v>0</v>
      </c>
      <c r="I24" s="20" t="n">
        <v>0</v>
      </c>
      <c r="J24" s="19" t="inlineStr"/>
      <c r="K24" s="19" t="inlineStr"/>
      <c r="L24" s="18" t="inlineStr"/>
      <c r="M24" s="21" t="inlineStr"/>
      <c r="N24" s="22" t="inlineStr">
        <is>
          <t>Open</t>
        </is>
      </c>
      <c r="O24" s="18" t="inlineStr"/>
      <c r="P24" s="29" t="inlineStr">
        <is>
          <t>E</t>
        </is>
      </c>
      <c r="Q24" s="28" t="inlineStr">
        <is>
          <t>ACTION - confirm pregnant or breed urgently</t>
        </is>
      </c>
      <c r="R24" s="13" t="inlineStr">
        <is>
          <t>Born Feb 2023, age 3.3. Daughter of top producer Makantase. On Open list since Dec 2025, no calf recorded.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J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8" customWidth="1" min="4" max="4"/>
    <col width="12" customWidth="1" min="5" max="5"/>
    <col width="11" customWidth="1" min="6" max="6"/>
    <col width="22" customWidth="1" min="7" max="7"/>
    <col width="14" customWidth="1" min="8" max="8"/>
    <col width="11" customWidth="1" min="9" max="9"/>
    <col width="16" customWidth="1" min="10" max="10"/>
  </cols>
  <sheetData>
    <row r="1">
      <c r="A1" s="1" t="inlineStr">
        <is>
          <t>Heifer Calf Breeding Readiness</t>
        </is>
      </c>
    </row>
    <row r="2">
      <c r="A2" s="17" t="inlineStr">
        <is>
          <t>Female calves and heifers in the herd that have not yet calved, sorted by when they're ready. Ready age = 28 months. First calf = ready date + 283 days.</t>
        </is>
      </c>
    </row>
    <row r="4" ht="36" customHeight="1">
      <c r="A4" s="12" t="inlineStr">
        <is>
          <t>#</t>
        </is>
      </c>
      <c r="B4" s="12" t="inlineStr">
        <is>
          <t>Heifer</t>
        </is>
      </c>
      <c r="C4" s="12" t="inlineStr">
        <is>
          <t>Mother</t>
        </is>
      </c>
      <c r="D4" s="12" t="inlineStr">
        <is>
          <t>Breed</t>
        </is>
      </c>
      <c r="E4" s="12" t="inlineStr">
        <is>
          <t>DOB</t>
        </is>
      </c>
      <c r="F4" s="12" t="inlineStr">
        <is>
          <t>Age now (mo)</t>
        </is>
      </c>
      <c r="G4" s="12" t="inlineStr">
        <is>
          <t>Status</t>
        </is>
      </c>
      <c r="H4" s="12" t="inlineStr">
        <is>
          <t>Ready / Due</t>
        </is>
      </c>
      <c r="I4" s="12" t="inlineStr">
        <is>
          <t>Months out</t>
        </is>
      </c>
      <c r="J4" s="12" t="inlineStr">
        <is>
          <t>Expected first calf</t>
        </is>
      </c>
    </row>
    <row r="5">
      <c r="A5" s="30" t="n">
        <v>1</v>
      </c>
      <c r="B5" s="30" t="inlineStr">
        <is>
          <t>Noxy</t>
        </is>
      </c>
      <c r="C5" s="30" t="inlineStr">
        <is>
          <t>Lapi</t>
        </is>
      </c>
      <c r="D5" s="30" t="inlineStr">
        <is>
          <t>Brahman Cross</t>
        </is>
      </c>
      <c r="E5" s="31" t="n">
        <v>45156</v>
      </c>
      <c r="F5" s="32" t="n">
        <v>33.2</v>
      </c>
      <c r="G5" s="30" t="inlineStr">
        <is>
          <t>Ready now</t>
        </is>
      </c>
      <c r="H5" s="31" t="n">
        <v>46008</v>
      </c>
      <c r="I5" s="32" t="n">
        <v>0</v>
      </c>
      <c r="J5" s="31" t="n">
        <v>46291</v>
      </c>
    </row>
    <row r="6">
      <c r="A6" s="30" t="n">
        <v>2</v>
      </c>
      <c r="B6" s="30" t="inlineStr">
        <is>
          <t>Mmapule</t>
        </is>
      </c>
      <c r="C6" s="30" t="inlineStr">
        <is>
          <t>Zondi</t>
        </is>
      </c>
      <c r="D6" s="30" t="inlineStr">
        <is>
          <t>Boran x Simbra</t>
        </is>
      </c>
      <c r="E6" s="31" t="n">
        <v>45271</v>
      </c>
      <c r="F6" s="32" t="n">
        <v>29.4</v>
      </c>
      <c r="G6" s="30" t="inlineStr">
        <is>
          <t>Ready now</t>
        </is>
      </c>
      <c r="H6" s="31" t="n">
        <v>46123</v>
      </c>
      <c r="I6" s="32" t="n">
        <v>0</v>
      </c>
      <c r="J6" s="31" t="n">
        <v>46406</v>
      </c>
    </row>
    <row r="7">
      <c r="A7" s="30" t="n">
        <v>3</v>
      </c>
      <c r="B7" s="30" t="inlineStr">
        <is>
          <t>Poelo</t>
        </is>
      </c>
      <c r="C7" s="30" t="inlineStr">
        <is>
          <t>Kalajane</t>
        </is>
      </c>
      <c r="D7" s="30" t="inlineStr">
        <is>
          <t>Brahman Cross</t>
        </is>
      </c>
      <c r="E7" s="31" t="n">
        <v>45273</v>
      </c>
      <c r="F7" s="32" t="n">
        <v>29.4</v>
      </c>
      <c r="G7" s="30" t="inlineStr">
        <is>
          <t>Ready now</t>
        </is>
      </c>
      <c r="H7" s="31" t="n">
        <v>46125</v>
      </c>
      <c r="I7" s="32" t="n">
        <v>0</v>
      </c>
      <c r="J7" s="31" t="n">
        <v>46408</v>
      </c>
    </row>
    <row r="8">
      <c r="A8" s="33" t="n">
        <v>4</v>
      </c>
      <c r="B8" s="33" t="inlineStr">
        <is>
          <t>Leruo</t>
        </is>
      </c>
      <c r="C8" s="33" t="inlineStr">
        <is>
          <t>Kgetlheng</t>
        </is>
      </c>
      <c r="D8" s="33" t="inlineStr">
        <is>
          <t>Brahman x Boran</t>
        </is>
      </c>
      <c r="E8" s="34" t="n">
        <v>45017</v>
      </c>
      <c r="F8" s="35" t="n">
        <v>37.8</v>
      </c>
      <c r="G8" s="24" t="inlineStr">
        <is>
          <t>Pregnant (first-time)</t>
        </is>
      </c>
      <c r="H8" s="34" t="n">
        <v>46314</v>
      </c>
      <c r="I8" s="35" t="n">
        <v>4.8</v>
      </c>
      <c r="J8" s="34" t="n">
        <v>46314</v>
      </c>
    </row>
    <row r="9">
      <c r="A9" s="14" t="n">
        <v>5</v>
      </c>
      <c r="B9" s="14" t="inlineStr">
        <is>
          <t>Smongo</t>
        </is>
      </c>
      <c r="C9" s="14" t="inlineStr">
        <is>
          <t>Makantase</t>
        </is>
      </c>
      <c r="D9" s="14" t="inlineStr">
        <is>
          <t>Brahman</t>
        </is>
      </c>
      <c r="E9" s="36" t="n">
        <v>45465</v>
      </c>
      <c r="F9" s="37" t="n">
        <v>23.1</v>
      </c>
      <c r="G9" s="14" t="inlineStr">
        <is>
          <t>Maturing</t>
        </is>
      </c>
      <c r="H9" s="36" t="n">
        <v>46317</v>
      </c>
      <c r="I9" s="37" t="n">
        <v>4.9</v>
      </c>
      <c r="J9" s="36" t="n">
        <v>46600</v>
      </c>
    </row>
    <row r="10">
      <c r="A10" s="14" t="n">
        <v>6</v>
      </c>
      <c r="B10" s="14" t="inlineStr">
        <is>
          <t>Bali</t>
        </is>
      </c>
      <c r="C10" s="14" t="inlineStr">
        <is>
          <t>Mphonyana (dec.)</t>
        </is>
      </c>
      <c r="D10" s="14" t="inlineStr">
        <is>
          <t>Brahman x Boran</t>
        </is>
      </c>
      <c r="E10" s="36" t="n">
        <v>45530</v>
      </c>
      <c r="F10" s="37" t="n">
        <v>20.9</v>
      </c>
      <c r="G10" s="14" t="inlineStr">
        <is>
          <t>Maturing</t>
        </is>
      </c>
      <c r="H10" s="36" t="n">
        <v>46382</v>
      </c>
      <c r="I10" s="37" t="n">
        <v>7.1</v>
      </c>
      <c r="J10" s="36" t="n">
        <v>46665</v>
      </c>
    </row>
    <row r="11">
      <c r="A11" s="14" t="n">
        <v>7</v>
      </c>
      <c r="B11" s="14" t="inlineStr">
        <is>
          <t>Madikizela</t>
        </is>
      </c>
      <c r="C11" s="14" t="inlineStr">
        <is>
          <t>Georgina</t>
        </is>
      </c>
      <c r="D11" s="14" t="inlineStr">
        <is>
          <t>Brahman x Boran</t>
        </is>
      </c>
      <c r="E11" s="36" t="n">
        <v>45531</v>
      </c>
      <c r="F11" s="37" t="n">
        <v>20.9</v>
      </c>
      <c r="G11" s="14" t="inlineStr">
        <is>
          <t>Maturing</t>
        </is>
      </c>
      <c r="H11" s="36" t="n">
        <v>46383</v>
      </c>
      <c r="I11" s="37" t="n">
        <v>7.1</v>
      </c>
      <c r="J11" s="36" t="n">
        <v>46666</v>
      </c>
    </row>
    <row r="12">
      <c r="A12" s="33" t="n">
        <v>8</v>
      </c>
      <c r="B12" s="33" t="inlineStr">
        <is>
          <t>Amogelang</t>
        </is>
      </c>
      <c r="C12" s="33" t="inlineStr">
        <is>
          <t>Mantabole</t>
        </is>
      </c>
      <c r="D12" s="33" t="inlineStr">
        <is>
          <t>Brahman x Boran</t>
        </is>
      </c>
      <c r="E12" s="34" t="n">
        <v>44986</v>
      </c>
      <c r="F12" s="35" t="n">
        <v>38.8</v>
      </c>
      <c r="G12" s="24" t="inlineStr">
        <is>
          <t>Pregnant (first-time)</t>
        </is>
      </c>
      <c r="H12" s="34" t="n">
        <v>46386</v>
      </c>
      <c r="I12" s="35" t="n">
        <v>7.2</v>
      </c>
      <c r="J12" s="34" t="n">
        <v>46386</v>
      </c>
    </row>
    <row r="13">
      <c r="A13" s="14" t="n">
        <v>9</v>
      </c>
      <c r="B13" s="14" t="inlineStr">
        <is>
          <t>Motlalepula</t>
        </is>
      </c>
      <c r="C13" s="14" t="inlineStr">
        <is>
          <t>Lapi</t>
        </is>
      </c>
      <c r="D13" s="14" t="inlineStr">
        <is>
          <t>Brahman Cross</t>
        </is>
      </c>
      <c r="E13" s="36" t="n">
        <v>45610</v>
      </c>
      <c r="F13" s="37" t="n">
        <v>18.3</v>
      </c>
      <c r="G13" s="14" t="inlineStr">
        <is>
          <t>Maturing</t>
        </is>
      </c>
      <c r="H13" s="36" t="n">
        <v>46462</v>
      </c>
      <c r="I13" s="37" t="n">
        <v>9.699999999999999</v>
      </c>
      <c r="J13" s="36" t="n">
        <v>46745</v>
      </c>
    </row>
    <row r="14">
      <c r="A14" s="14" t="n">
        <v>10</v>
      </c>
      <c r="B14" s="14" t="inlineStr">
        <is>
          <t>Tlhabi</t>
        </is>
      </c>
      <c r="C14" s="14" t="inlineStr">
        <is>
          <t>Zondi</t>
        </is>
      </c>
      <c r="D14" s="14" t="inlineStr">
        <is>
          <t>Brahman x Boran</t>
        </is>
      </c>
      <c r="E14" s="36" t="n">
        <v>45881</v>
      </c>
      <c r="F14" s="37" t="n">
        <v>9.4</v>
      </c>
      <c r="G14" s="14" t="inlineStr">
        <is>
          <t>Maturing</t>
        </is>
      </c>
      <c r="H14" s="36" t="n">
        <v>46733</v>
      </c>
      <c r="I14" s="37" t="n">
        <v>18.6</v>
      </c>
      <c r="J14" s="36" t="n">
        <v>47016</v>
      </c>
    </row>
    <row r="15">
      <c r="A15" s="14" t="n">
        <v>11</v>
      </c>
      <c r="B15" s="14" t="inlineStr">
        <is>
          <t>Nomsa</t>
        </is>
      </c>
      <c r="C15" s="14" t="inlineStr">
        <is>
          <t>Serena</t>
        </is>
      </c>
      <c r="D15" s="14" t="inlineStr">
        <is>
          <t>Brahman</t>
        </is>
      </c>
      <c r="E15" s="36" t="n">
        <v>45955</v>
      </c>
      <c r="F15" s="37" t="n">
        <v>7</v>
      </c>
      <c r="G15" s="14" t="inlineStr">
        <is>
          <t>Maturing</t>
        </is>
      </c>
      <c r="H15" s="36" t="n">
        <v>46807</v>
      </c>
      <c r="I15" s="37" t="n">
        <v>21</v>
      </c>
      <c r="J15" s="36" t="n">
        <v>47090</v>
      </c>
    </row>
    <row r="16">
      <c r="A16" s="14" t="n">
        <v>12</v>
      </c>
      <c r="B16" s="14" t="inlineStr">
        <is>
          <t>Mpolokeng</t>
        </is>
      </c>
      <c r="C16" s="14" t="inlineStr">
        <is>
          <t>Maitlhwana</t>
        </is>
      </c>
      <c r="D16" s="14" t="inlineStr">
        <is>
          <t>Brahman Cross</t>
        </is>
      </c>
      <c r="E16" s="36" t="n">
        <v>45967</v>
      </c>
      <c r="F16" s="37" t="n">
        <v>6.6</v>
      </c>
      <c r="G16" s="14" t="inlineStr">
        <is>
          <t>Maturing</t>
        </is>
      </c>
      <c r="H16" s="36" t="n">
        <v>46819</v>
      </c>
      <c r="I16" s="37" t="n">
        <v>21.4</v>
      </c>
      <c r="J16" s="36" t="n">
        <v>47102</v>
      </c>
    </row>
    <row r="17">
      <c r="A17" s="14" t="n">
        <v>13</v>
      </c>
      <c r="B17" s="14" t="inlineStr">
        <is>
          <t>Puleng</t>
        </is>
      </c>
      <c r="C17" s="14" t="inlineStr">
        <is>
          <t>Makantase</t>
        </is>
      </c>
      <c r="D17" s="14" t="inlineStr">
        <is>
          <t>Brahman</t>
        </is>
      </c>
      <c r="E17" s="36" t="n">
        <v>46026</v>
      </c>
      <c r="F17" s="37" t="n">
        <v>4.6</v>
      </c>
      <c r="G17" s="14" t="inlineStr">
        <is>
          <t>Maturing</t>
        </is>
      </c>
      <c r="H17" s="36" t="n">
        <v>46878</v>
      </c>
      <c r="I17" s="37" t="n">
        <v>23.4</v>
      </c>
      <c r="J17" s="36" t="n">
        <v>47161</v>
      </c>
    </row>
    <row r="18">
      <c r="A18" s="14" t="n">
        <v>14</v>
      </c>
      <c r="B18" s="14" t="inlineStr">
        <is>
          <t>Bontle</t>
        </is>
      </c>
      <c r="C18" s="14" t="inlineStr">
        <is>
          <t>Kgetlheng</t>
        </is>
      </c>
      <c r="D18" s="14" t="inlineStr">
        <is>
          <t>Brahman Cross</t>
        </is>
      </c>
      <c r="E18" s="36" t="n">
        <v>46073</v>
      </c>
      <c r="F18" s="37" t="n">
        <v>3.1</v>
      </c>
      <c r="G18" s="14" t="inlineStr">
        <is>
          <t>Maturing</t>
        </is>
      </c>
      <c r="H18" s="36" t="n">
        <v>46925</v>
      </c>
      <c r="I18" s="37" t="n">
        <v>24.9</v>
      </c>
      <c r="J18" s="36" t="n">
        <v>47208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0C0"/>
    <outlinePr summaryBelow="1" summaryRight="1"/>
    <pageSetUpPr/>
  </sheetPr>
  <dimension ref="A1:J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8" customWidth="1" min="4" max="4"/>
    <col width="12" customWidth="1" min="5" max="5"/>
    <col width="11" customWidth="1" min="6" max="6"/>
    <col width="6" customWidth="1" min="7" max="7"/>
    <col width="28" customWidth="1" min="8" max="8"/>
    <col width="14" customWidth="1" min="9" max="9"/>
    <col width="50" customWidth="1" min="10" max="10"/>
  </cols>
  <sheetData>
    <row r="1">
      <c r="A1" s="1" t="inlineStr">
        <is>
          <t>Bull Calf Plan — Sell vs Keep as Sire</t>
        </is>
      </c>
    </row>
    <row r="2">
      <c r="A2" s="17" t="inlineStr">
        <is>
          <t>Sire candidates ready at ~18 months. Sale weaners ready at ~8-12 months. Highlighted rows = sire candidates kept on farm.</t>
        </is>
      </c>
    </row>
    <row r="4" ht="36" customHeight="1">
      <c r="A4" s="12" t="inlineStr">
        <is>
          <t>#</t>
        </is>
      </c>
      <c r="B4" s="12" t="inlineStr">
        <is>
          <t>Bull Calf</t>
        </is>
      </c>
      <c r="C4" s="12" t="inlineStr">
        <is>
          <t>Mother</t>
        </is>
      </c>
      <c r="D4" s="12" t="inlineStr">
        <is>
          <t>Breed</t>
        </is>
      </c>
      <c r="E4" s="12" t="inlineStr">
        <is>
          <t>DOB</t>
        </is>
      </c>
      <c r="F4" s="12" t="inlineStr">
        <is>
          <t>Age now (mo)</t>
        </is>
      </c>
      <c r="G4" s="12" t="inlineStr">
        <is>
          <t>(B)</t>
        </is>
      </c>
      <c r="H4" s="12" t="inlineStr">
        <is>
          <t>Plan</t>
        </is>
      </c>
      <c r="I4" s="12" t="inlineStr">
        <is>
          <t>Ready date</t>
        </is>
      </c>
      <c r="J4" s="12" t="inlineStr">
        <is>
          <t>Notes</t>
        </is>
      </c>
    </row>
    <row r="5">
      <c r="A5" s="33" t="n">
        <v>1</v>
      </c>
      <c r="B5" s="33" t="inlineStr">
        <is>
          <t>Mawick</t>
        </is>
      </c>
      <c r="C5" s="33" t="inlineStr">
        <is>
          <t>Baizani</t>
        </is>
      </c>
      <c r="D5" s="33" t="inlineStr">
        <is>
          <t>Brahman</t>
        </is>
      </c>
      <c r="E5" s="34" t="n">
        <v>45593</v>
      </c>
      <c r="F5" s="35" t="n">
        <v>18.9</v>
      </c>
      <c r="G5" s="33" t="inlineStr"/>
      <c r="H5" s="24" t="inlineStr">
        <is>
          <t>KEEP — sire candidate</t>
        </is>
      </c>
      <c r="I5" s="34" t="n">
        <v>46140</v>
      </c>
      <c r="J5" s="33" t="inlineStr">
        <is>
          <t>Brahman, son of Baizani. Oldest candidate — ready first.</t>
        </is>
      </c>
    </row>
    <row r="6">
      <c r="A6" s="33" t="n">
        <v>2</v>
      </c>
      <c r="B6" s="33" t="inlineStr">
        <is>
          <t>Rapula</t>
        </is>
      </c>
      <c r="C6" s="33" t="inlineStr">
        <is>
          <t>Surprise</t>
        </is>
      </c>
      <c r="D6" s="33" t="inlineStr">
        <is>
          <t>Brahman Cross</t>
        </is>
      </c>
      <c r="E6" s="34" t="n">
        <v>45706</v>
      </c>
      <c r="F6" s="35" t="n">
        <v>15.1</v>
      </c>
      <c r="G6" s="33" t="inlineStr">
        <is>
          <t>Y</t>
        </is>
      </c>
      <c r="H6" s="24" t="inlineStr">
        <is>
          <t>KEEP — sire candidate (B)</t>
        </is>
      </c>
      <c r="I6" s="34" t="n">
        <v>46253</v>
      </c>
      <c r="J6" s="33" t="inlineStr">
        <is>
          <t>Brahman x. Son of Surprise. (B)-sired so do NOT mate to Boshomane's daughters.</t>
        </is>
      </c>
    </row>
    <row r="7">
      <c r="A7" s="30" t="n">
        <v>3</v>
      </c>
      <c r="B7" s="30" t="inlineStr">
        <is>
          <t>Lele</t>
        </is>
      </c>
      <c r="C7" s="30" t="inlineStr">
        <is>
          <t>Mantabole</t>
        </is>
      </c>
      <c r="D7" s="30" t="inlineStr">
        <is>
          <t>Brahman x Boran</t>
        </is>
      </c>
      <c r="E7" s="31" t="n">
        <v>45899</v>
      </c>
      <c r="F7" s="32" t="n">
        <v>8.800000000000001</v>
      </c>
      <c r="G7" s="30" t="inlineStr">
        <is>
          <t>Y</t>
        </is>
      </c>
      <c r="H7" s="30" t="inlineStr">
        <is>
          <t>SELL — weaner</t>
        </is>
      </c>
      <c r="I7" s="31" t="n">
        <v>46203</v>
      </c>
      <c r="J7" s="30" t="inlineStr">
        <is>
          <t>Brahman x Boran, son of Mantabole. Sell as weaner late 2026.</t>
        </is>
      </c>
    </row>
    <row r="8">
      <c r="A8" s="33" t="n">
        <v>4</v>
      </c>
      <c r="B8" s="33" t="inlineStr">
        <is>
          <t>Amerko</t>
        </is>
      </c>
      <c r="C8" s="33" t="inlineStr">
        <is>
          <t>Nandipha Magudumana</t>
        </is>
      </c>
      <c r="D8" s="33" t="inlineStr">
        <is>
          <t>Brahman</t>
        </is>
      </c>
      <c r="E8" s="34" t="n">
        <v>45980</v>
      </c>
      <c r="F8" s="35" t="n">
        <v>6.1</v>
      </c>
      <c r="G8" s="33" t="inlineStr"/>
      <c r="H8" s="24" t="inlineStr">
        <is>
          <t>KEEP — sire candidate</t>
        </is>
      </c>
      <c r="I8" s="34" t="n">
        <v>46527</v>
      </c>
      <c r="J8" s="33" t="inlineStr">
        <is>
          <t>Brahman, son of Nandipha. Precocious mother — good prospect.</t>
        </is>
      </c>
    </row>
    <row r="9">
      <c r="A9" s="33" t="n">
        <v>5</v>
      </c>
      <c r="B9" s="33" t="inlineStr">
        <is>
          <t>Makaku</t>
        </is>
      </c>
      <c r="C9" s="33" t="inlineStr">
        <is>
          <t>Lebese</t>
        </is>
      </c>
      <c r="D9" s="33" t="inlineStr">
        <is>
          <t>Brahman Cross</t>
        </is>
      </c>
      <c r="E9" s="34" t="n">
        <v>46007</v>
      </c>
      <c r="F9" s="35" t="n">
        <v>5.3</v>
      </c>
      <c r="G9" s="33" t="inlineStr">
        <is>
          <t>Y</t>
        </is>
      </c>
      <c r="H9" s="24" t="inlineStr">
        <is>
          <t>KEEP — sire candidate (B)</t>
        </is>
      </c>
      <c r="I9" s="34" t="n">
        <v>46554</v>
      </c>
      <c r="J9" s="33" t="inlineStr">
        <is>
          <t>Mix Cross. Son of Lebese (late-starter mother). (B)-sired.</t>
        </is>
      </c>
    </row>
    <row r="10">
      <c r="A10" s="30" t="n">
        <v>6</v>
      </c>
      <c r="B10" s="30" t="inlineStr">
        <is>
          <t>Lesedi</t>
        </is>
      </c>
      <c r="C10" s="30" t="inlineStr">
        <is>
          <t>Kalajane</t>
        </is>
      </c>
      <c r="D10" s="30" t="inlineStr">
        <is>
          <t>Brahman Cross</t>
        </is>
      </c>
      <c r="E10" s="31" t="n">
        <v>46156</v>
      </c>
      <c r="F10" s="32" t="n">
        <v>0.4</v>
      </c>
      <c r="G10" s="30" t="inlineStr">
        <is>
          <t>Y</t>
        </is>
      </c>
      <c r="H10" s="30" t="inlineStr">
        <is>
          <t>SELL — weaner</t>
        </is>
      </c>
      <c r="I10" s="31" t="n">
        <v>46460</v>
      </c>
      <c r="J10" s="30" t="inlineStr">
        <is>
          <t>Brahman Cross, son of Kalajane. Just born; sell early 2027.</t>
        </is>
      </c>
    </row>
    <row r="13">
      <c r="A13" s="38" t="inlineStr">
        <is>
          <t>Bulls already sold (see Sold-Historic for details)</t>
        </is>
      </c>
    </row>
    <row r="14">
      <c r="A14" s="16" t="inlineStr">
        <is>
          <t>- Russell (Kgetlheng)</t>
        </is>
      </c>
    </row>
    <row r="15">
      <c r="A15" s="16" t="inlineStr">
        <is>
          <t>- Gijima (Mpho)</t>
        </is>
      </c>
    </row>
    <row r="16">
      <c r="A16" s="16" t="inlineStr">
        <is>
          <t>- Mzambia (Mmadikrempe)</t>
        </is>
      </c>
    </row>
    <row r="17">
      <c r="A17" s="16" t="inlineStr">
        <is>
          <t>- Nyovest (Witkouse)</t>
        </is>
      </c>
    </row>
    <row r="18">
      <c r="A18" s="16" t="inlineStr">
        <is>
          <t>- Benny (Surprise)</t>
        </is>
      </c>
    </row>
    <row r="19">
      <c r="A19" s="16" t="inlineStr">
        <is>
          <t>- Madiketane (bought-in)</t>
        </is>
      </c>
    </row>
    <row r="20">
      <c r="A20" s="16" t="inlineStr">
        <is>
          <t>- Madlisa (Junior)</t>
        </is>
      </c>
    </row>
  </sheetData>
  <mergeCells count="10">
    <mergeCell ref="A1:J1"/>
    <mergeCell ref="A14:J14"/>
    <mergeCell ref="A16:J16"/>
    <mergeCell ref="A17:J17"/>
    <mergeCell ref="A18:J18"/>
    <mergeCell ref="A15:J15"/>
    <mergeCell ref="A19:J19"/>
    <mergeCell ref="A20:J20"/>
    <mergeCell ref="A2:J2"/>
    <mergeCell ref="A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2D050"/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Lineage — Mother to Calf</t>
        </is>
      </c>
    </row>
    <row r="3" ht="30" customHeight="1">
      <c r="A3" s="12" t="inlineStr">
        <is>
          <t>Mother</t>
        </is>
      </c>
      <c r="B3" s="12" t="inlineStr">
        <is>
          <t>Calf</t>
        </is>
      </c>
      <c r="C3" s="12" t="inlineStr">
        <is>
          <t>Sex</t>
        </is>
      </c>
      <c r="D3" s="12" t="inlineStr">
        <is>
          <t>DOB</t>
        </is>
      </c>
      <c r="E3" s="12" t="inlineStr">
        <is>
          <t>Sire</t>
        </is>
      </c>
      <c r="F3" s="12" t="inlineStr">
        <is>
          <t>Status</t>
        </is>
      </c>
    </row>
    <row r="4">
      <c r="A4" s="13" t="inlineStr">
        <is>
          <t>Baizani</t>
        </is>
      </c>
      <c r="B4" s="13" t="inlineStr">
        <is>
          <t>Mawick</t>
        </is>
      </c>
      <c r="C4" s="13" t="inlineStr">
        <is>
          <t>M</t>
        </is>
      </c>
      <c r="D4" s="18" t="n">
        <v>45593</v>
      </c>
      <c r="E4" s="13" t="inlineStr"/>
      <c r="F4" s="13" t="inlineStr">
        <is>
          <t>Active</t>
        </is>
      </c>
    </row>
    <row r="5">
      <c r="A5" s="14" t="inlineStr">
        <is>
          <t>Georgina</t>
        </is>
      </c>
      <c r="B5" s="14" t="inlineStr">
        <is>
          <t>Madikizela</t>
        </is>
      </c>
      <c r="C5" s="14" t="inlineStr">
        <is>
          <t>F</t>
        </is>
      </c>
      <c r="D5" s="36" t="n">
        <v>45531</v>
      </c>
      <c r="E5" s="14" t="inlineStr">
        <is>
          <t>Boshomane</t>
        </is>
      </c>
      <c r="F5" s="14" t="inlineStr">
        <is>
          <t>Active</t>
        </is>
      </c>
    </row>
    <row r="6">
      <c r="A6" s="14" t="inlineStr">
        <is>
          <t>Kalajane</t>
        </is>
      </c>
      <c r="B6" s="14" t="inlineStr">
        <is>
          <t>Poelo</t>
        </is>
      </c>
      <c r="C6" s="14" t="inlineStr">
        <is>
          <t>F</t>
        </is>
      </c>
      <c r="D6" s="36" t="n">
        <v>45273</v>
      </c>
      <c r="E6" s="14" t="inlineStr">
        <is>
          <t>Boshomane</t>
        </is>
      </c>
      <c r="F6" s="14" t="inlineStr">
        <is>
          <t>Active</t>
        </is>
      </c>
    </row>
    <row r="7">
      <c r="A7" s="14" t="inlineStr">
        <is>
          <t>Kalajane</t>
        </is>
      </c>
      <c r="B7" s="14" t="inlineStr">
        <is>
          <t>Lesedi</t>
        </is>
      </c>
      <c r="C7" s="14" t="inlineStr">
        <is>
          <t>M</t>
        </is>
      </c>
      <c r="D7" s="36" t="n">
        <v>46156</v>
      </c>
      <c r="E7" s="14" t="inlineStr">
        <is>
          <t>Boshomane</t>
        </is>
      </c>
      <c r="F7" s="14" t="inlineStr">
        <is>
          <t>Active</t>
        </is>
      </c>
    </row>
    <row r="8">
      <c r="A8" s="13" t="inlineStr">
        <is>
          <t>Kgetlheng</t>
        </is>
      </c>
      <c r="B8" s="13" t="inlineStr">
        <is>
          <t>Leruo</t>
        </is>
      </c>
      <c r="C8" s="13" t="inlineStr">
        <is>
          <t>F</t>
        </is>
      </c>
      <c r="D8" s="18" t="n">
        <v>45017</v>
      </c>
      <c r="E8" s="13" t="inlineStr"/>
      <c r="F8" s="13" t="inlineStr">
        <is>
          <t>Active</t>
        </is>
      </c>
    </row>
    <row r="9">
      <c r="A9" s="39" t="inlineStr">
        <is>
          <t>Kgetlheng</t>
        </is>
      </c>
      <c r="B9" s="39" t="inlineStr">
        <is>
          <t>Russell</t>
        </is>
      </c>
      <c r="C9" s="39" t="inlineStr">
        <is>
          <t>M</t>
        </is>
      </c>
      <c r="D9" s="40" t="n">
        <v>45542</v>
      </c>
      <c r="E9" s="39" t="inlineStr">
        <is>
          <t>Boshomane</t>
        </is>
      </c>
      <c r="F9" s="39" t="inlineStr">
        <is>
          <t>Sold</t>
        </is>
      </c>
    </row>
    <row r="10">
      <c r="A10" s="14" t="inlineStr">
        <is>
          <t>Kgetlheng</t>
        </is>
      </c>
      <c r="B10" s="14" t="inlineStr">
        <is>
          <t>Bontle</t>
        </is>
      </c>
      <c r="C10" s="14" t="inlineStr">
        <is>
          <t>F</t>
        </is>
      </c>
      <c r="D10" s="36" t="n">
        <v>46073</v>
      </c>
      <c r="E10" s="14" t="inlineStr">
        <is>
          <t>Boshomane</t>
        </is>
      </c>
      <c r="F10" s="14" t="inlineStr">
        <is>
          <t>Active</t>
        </is>
      </c>
    </row>
    <row r="11">
      <c r="A11" s="14" t="inlineStr">
        <is>
          <t>Lapi</t>
        </is>
      </c>
      <c r="B11" s="14" t="inlineStr">
        <is>
          <t>Noxy</t>
        </is>
      </c>
      <c r="C11" s="14" t="inlineStr">
        <is>
          <t>F</t>
        </is>
      </c>
      <c r="D11" s="36" t="n">
        <v>45156</v>
      </c>
      <c r="E11" s="14" t="inlineStr">
        <is>
          <t>Boshomane</t>
        </is>
      </c>
      <c r="F11" s="14" t="inlineStr">
        <is>
          <t>Active</t>
        </is>
      </c>
    </row>
    <row r="12">
      <c r="A12" s="14" t="inlineStr">
        <is>
          <t>Lapi</t>
        </is>
      </c>
      <c r="B12" s="14" t="inlineStr">
        <is>
          <t>Motlalepula</t>
        </is>
      </c>
      <c r="C12" s="14" t="inlineStr">
        <is>
          <t>F</t>
        </is>
      </c>
      <c r="D12" s="36" t="n">
        <v>45610</v>
      </c>
      <c r="E12" s="14" t="inlineStr">
        <is>
          <t>Boshomane</t>
        </is>
      </c>
      <c r="F12" s="14" t="inlineStr">
        <is>
          <t>Active</t>
        </is>
      </c>
    </row>
    <row r="13">
      <c r="A13" s="14" t="inlineStr">
        <is>
          <t>Lebese</t>
        </is>
      </c>
      <c r="B13" s="14" t="inlineStr">
        <is>
          <t>Makaku</t>
        </is>
      </c>
      <c r="C13" s="14" t="inlineStr">
        <is>
          <t>M</t>
        </is>
      </c>
      <c r="D13" s="36" t="n">
        <v>46007</v>
      </c>
      <c r="E13" s="14" t="inlineStr">
        <is>
          <t>Boshomane</t>
        </is>
      </c>
      <c r="F13" s="14" t="inlineStr">
        <is>
          <t>Active</t>
        </is>
      </c>
    </row>
    <row r="14">
      <c r="A14" s="14" t="inlineStr">
        <is>
          <t>Maitlhwana</t>
        </is>
      </c>
      <c r="B14" s="14" t="inlineStr">
        <is>
          <t>Mpolokeng</t>
        </is>
      </c>
      <c r="C14" s="14" t="inlineStr">
        <is>
          <t>F</t>
        </is>
      </c>
      <c r="D14" s="36" t="n">
        <v>45967</v>
      </c>
      <c r="E14" s="14" t="inlineStr">
        <is>
          <t>Boshomane</t>
        </is>
      </c>
      <c r="F14" s="14" t="inlineStr">
        <is>
          <t>Active</t>
        </is>
      </c>
    </row>
    <row r="15">
      <c r="A15" s="13" t="inlineStr">
        <is>
          <t>Makantase</t>
        </is>
      </c>
      <c r="B15" s="13" t="inlineStr">
        <is>
          <t>Makantase Jr</t>
        </is>
      </c>
      <c r="C15" s="13" t="inlineStr">
        <is>
          <t>F</t>
        </is>
      </c>
      <c r="D15" s="18" t="n">
        <v>44501</v>
      </c>
      <c r="E15" s="13" t="inlineStr"/>
      <c r="F15" s="13" t="inlineStr">
        <is>
          <t>Active</t>
        </is>
      </c>
    </row>
    <row r="16">
      <c r="A16" s="13" t="inlineStr">
        <is>
          <t>Makantase</t>
        </is>
      </c>
      <c r="B16" s="13" t="inlineStr">
        <is>
          <t>Lerato Makantase</t>
        </is>
      </c>
      <c r="C16" s="13" t="inlineStr">
        <is>
          <t>F</t>
        </is>
      </c>
      <c r="D16" s="18" t="n">
        <v>44960</v>
      </c>
      <c r="E16" s="13" t="inlineStr"/>
      <c r="F16" s="13" t="inlineStr">
        <is>
          <t>Active</t>
        </is>
      </c>
    </row>
    <row r="17">
      <c r="A17" s="14" t="inlineStr">
        <is>
          <t>Makantase</t>
        </is>
      </c>
      <c r="B17" s="14" t="inlineStr">
        <is>
          <t>Smongo</t>
        </is>
      </c>
      <c r="C17" s="14" t="inlineStr">
        <is>
          <t>F</t>
        </is>
      </c>
      <c r="D17" s="36" t="n">
        <v>45465</v>
      </c>
      <c r="E17" s="14" t="inlineStr">
        <is>
          <t>Boshomane</t>
        </is>
      </c>
      <c r="F17" s="14" t="inlineStr">
        <is>
          <t>Active</t>
        </is>
      </c>
    </row>
    <row r="18">
      <c r="A18" s="14" t="inlineStr">
        <is>
          <t>Makantase</t>
        </is>
      </c>
      <c r="B18" s="14" t="inlineStr">
        <is>
          <t>Puleng</t>
        </is>
      </c>
      <c r="C18" s="14" t="inlineStr">
        <is>
          <t>F</t>
        </is>
      </c>
      <c r="D18" s="36" t="n">
        <v>46026</v>
      </c>
      <c r="E18" s="14" t="inlineStr">
        <is>
          <t>Boshomane</t>
        </is>
      </c>
      <c r="F18" s="14" t="inlineStr">
        <is>
          <t>Active</t>
        </is>
      </c>
    </row>
    <row r="19">
      <c r="A19" s="39" t="inlineStr">
        <is>
          <t>Makantase Jr</t>
        </is>
      </c>
      <c r="B19" s="39" t="inlineStr">
        <is>
          <t>Madlisa</t>
        </is>
      </c>
      <c r="C19" s="39" t="inlineStr">
        <is>
          <t>M</t>
        </is>
      </c>
      <c r="D19" s="40" t="n">
        <v>45976</v>
      </c>
      <c r="E19" s="39" t="inlineStr"/>
      <c r="F19" s="39" t="inlineStr">
        <is>
          <t>Sold</t>
        </is>
      </c>
    </row>
    <row r="20">
      <c r="A20" s="13" t="inlineStr">
        <is>
          <t>Mantabole</t>
        </is>
      </c>
      <c r="B20" s="13" t="inlineStr">
        <is>
          <t>Amogelang</t>
        </is>
      </c>
      <c r="C20" s="13" t="inlineStr">
        <is>
          <t>F</t>
        </is>
      </c>
      <c r="D20" s="18" t="n">
        <v>44986</v>
      </c>
      <c r="E20" s="13" t="inlineStr"/>
      <c r="F20" s="13" t="inlineStr">
        <is>
          <t>Active</t>
        </is>
      </c>
    </row>
    <row r="21">
      <c r="A21" s="14" t="inlineStr">
        <is>
          <t>Mantabole</t>
        </is>
      </c>
      <c r="B21" s="14" t="inlineStr">
        <is>
          <t>Lele</t>
        </is>
      </c>
      <c r="C21" s="14" t="inlineStr">
        <is>
          <t>M</t>
        </is>
      </c>
      <c r="D21" s="36" t="n">
        <v>45899</v>
      </c>
      <c r="E21" s="14" t="inlineStr">
        <is>
          <t>Boshomane</t>
        </is>
      </c>
      <c r="F21" s="14" t="inlineStr">
        <is>
          <t>Active</t>
        </is>
      </c>
    </row>
    <row r="22">
      <c r="A22" s="39" t="inlineStr">
        <is>
          <t>Mmadikrempe</t>
        </is>
      </c>
      <c r="B22" s="39" t="inlineStr">
        <is>
          <t>Mzambia</t>
        </is>
      </c>
      <c r="C22" s="39" t="inlineStr">
        <is>
          <t>M</t>
        </is>
      </c>
      <c r="D22" s="40" t="n">
        <v>45554</v>
      </c>
      <c r="E22" s="39" t="inlineStr">
        <is>
          <t>Boshomane</t>
        </is>
      </c>
      <c r="F22" s="39" t="inlineStr">
        <is>
          <t>Sold</t>
        </is>
      </c>
    </row>
    <row r="23">
      <c r="A23" s="39" t="inlineStr">
        <is>
          <t>Mpho</t>
        </is>
      </c>
      <c r="B23" s="39" t="inlineStr">
        <is>
          <t>Gijima</t>
        </is>
      </c>
      <c r="C23" s="39" t="inlineStr">
        <is>
          <t>M</t>
        </is>
      </c>
      <c r="D23" s="40" t="n">
        <v>45545</v>
      </c>
      <c r="E23" s="39" t="inlineStr">
        <is>
          <t>Boshomane</t>
        </is>
      </c>
      <c r="F23" s="39" t="inlineStr">
        <is>
          <t>Sold</t>
        </is>
      </c>
    </row>
    <row r="24">
      <c r="A24" s="14" t="inlineStr">
        <is>
          <t>Mphonyana</t>
        </is>
      </c>
      <c r="B24" s="14" t="inlineStr">
        <is>
          <t>Bali</t>
        </is>
      </c>
      <c r="C24" s="14" t="inlineStr">
        <is>
          <t>F</t>
        </is>
      </c>
      <c r="D24" s="36" t="n">
        <v>45530</v>
      </c>
      <c r="E24" s="14" t="inlineStr">
        <is>
          <t>Boshomane</t>
        </is>
      </c>
      <c r="F24" s="14" t="inlineStr">
        <is>
          <t>Active</t>
        </is>
      </c>
    </row>
    <row r="25">
      <c r="A25" s="13" t="inlineStr">
        <is>
          <t>Nandipha Magudumana</t>
        </is>
      </c>
      <c r="B25" s="13" t="inlineStr">
        <is>
          <t>Amerko</t>
        </is>
      </c>
      <c r="C25" s="13" t="inlineStr">
        <is>
          <t>M</t>
        </is>
      </c>
      <c r="D25" s="18" t="n">
        <v>45980</v>
      </c>
      <c r="E25" s="13" t="inlineStr"/>
      <c r="F25" s="13" t="inlineStr">
        <is>
          <t>Active</t>
        </is>
      </c>
    </row>
    <row r="26">
      <c r="A26" s="14" t="inlineStr">
        <is>
          <t>Serena</t>
        </is>
      </c>
      <c r="B26" s="14" t="inlineStr">
        <is>
          <t>Nomsa</t>
        </is>
      </c>
      <c r="C26" s="14" t="inlineStr">
        <is>
          <t>F</t>
        </is>
      </c>
      <c r="D26" s="36" t="n">
        <v>45955</v>
      </c>
      <c r="E26" s="14" t="inlineStr">
        <is>
          <t>Boshomane</t>
        </is>
      </c>
      <c r="F26" s="14" t="inlineStr">
        <is>
          <t>Active</t>
        </is>
      </c>
    </row>
    <row r="27">
      <c r="A27" s="14" t="inlineStr">
        <is>
          <t>Surprise</t>
        </is>
      </c>
      <c r="B27" s="14" t="inlineStr">
        <is>
          <t>Rapula</t>
        </is>
      </c>
      <c r="C27" s="14" t="inlineStr">
        <is>
          <t>M</t>
        </is>
      </c>
      <c r="D27" s="36" t="n">
        <v>45706</v>
      </c>
      <c r="E27" s="14" t="inlineStr">
        <is>
          <t>Boshomane</t>
        </is>
      </c>
      <c r="F27" s="14" t="inlineStr">
        <is>
          <t>Active</t>
        </is>
      </c>
    </row>
    <row r="28">
      <c r="A28" s="39" t="inlineStr">
        <is>
          <t>Surprise</t>
        </is>
      </c>
      <c r="B28" s="39" t="inlineStr">
        <is>
          <t>Benny</t>
        </is>
      </c>
      <c r="C28" s="39" t="inlineStr">
        <is>
          <t>M</t>
        </is>
      </c>
      <c r="D28" s="39" t="inlineStr">
        <is>
          <t>(unknown)</t>
        </is>
      </c>
      <c r="E28" s="39" t="inlineStr"/>
      <c r="F28" s="39" t="inlineStr">
        <is>
          <t>Sold</t>
        </is>
      </c>
    </row>
    <row r="29">
      <c r="A29" s="39" t="inlineStr">
        <is>
          <t>Witkouse</t>
        </is>
      </c>
      <c r="B29" s="39" t="inlineStr">
        <is>
          <t>Nyovest</t>
        </is>
      </c>
      <c r="C29" s="39" t="inlineStr">
        <is>
          <t>M</t>
        </is>
      </c>
      <c r="D29" s="40" t="n">
        <v>45635</v>
      </c>
      <c r="E29" s="39" t="inlineStr">
        <is>
          <t>Boshomane</t>
        </is>
      </c>
      <c r="F29" s="39" t="inlineStr">
        <is>
          <t>Sold</t>
        </is>
      </c>
    </row>
    <row r="30">
      <c r="A30" s="13" t="inlineStr">
        <is>
          <t>Zondi</t>
        </is>
      </c>
      <c r="B30" s="13" t="inlineStr">
        <is>
          <t>Mmapule</t>
        </is>
      </c>
      <c r="C30" s="13" t="inlineStr">
        <is>
          <t>F</t>
        </is>
      </c>
      <c r="D30" s="18" t="n">
        <v>45271</v>
      </c>
      <c r="E30" s="13" t="inlineStr"/>
      <c r="F30" s="13" t="inlineStr">
        <is>
          <t>Active</t>
        </is>
      </c>
    </row>
    <row r="31">
      <c r="A31" s="14" t="inlineStr">
        <is>
          <t>Zondi</t>
        </is>
      </c>
      <c r="B31" s="14" t="inlineStr">
        <is>
          <t>Tlhabi</t>
        </is>
      </c>
      <c r="C31" s="14" t="inlineStr">
        <is>
          <t>F</t>
        </is>
      </c>
      <c r="D31" s="36" t="n">
        <v>45881</v>
      </c>
      <c r="E31" s="14" t="inlineStr">
        <is>
          <t>Boshomane</t>
        </is>
      </c>
      <c r="F31" s="14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8" customWidth="1" min="4" max="4"/>
    <col width="42" customWidth="1" min="5" max="5"/>
  </cols>
  <sheetData>
    <row r="1">
      <c r="A1" s="1" t="inlineStr">
        <is>
          <t>Breeding Status</t>
        </is>
      </c>
    </row>
    <row r="3">
      <c r="A3" s="38" t="inlineStr">
        <is>
          <t>Open Cows — TRULY open right now (not pregnant). Need to be bred.</t>
        </is>
      </c>
    </row>
    <row r="4">
      <c r="A4" s="12" t="inlineStr">
        <is>
          <t>#</t>
        </is>
      </c>
      <c r="B4" s="12" t="inlineStr">
        <is>
          <t>Cow</t>
        </is>
      </c>
      <c r="C4" s="12" t="inlineStr">
        <is>
          <t>Ready From</t>
        </is>
      </c>
      <c r="D4" s="12" t="inlineStr">
        <is>
          <t>Pregnancy Status</t>
        </is>
      </c>
      <c r="E4" s="12" t="inlineStr">
        <is>
          <t>Notes</t>
        </is>
      </c>
    </row>
    <row r="5">
      <c r="A5" s="13" t="n">
        <v>1</v>
      </c>
      <c r="B5" s="13" t="inlineStr">
        <is>
          <t>Lerato Makantase</t>
        </is>
      </c>
      <c r="C5" s="13" t="inlineStr">
        <is>
          <t>Dec 2025</t>
        </is>
      </c>
      <c r="D5" s="22" t="inlineStr">
        <is>
          <t>Open</t>
        </is>
      </c>
      <c r="E5" s="13" t="inlineStr">
        <is>
          <t>Overdue first service — never calved at age 3.3</t>
        </is>
      </c>
    </row>
    <row r="6">
      <c r="A6" s="13" t="n">
        <v>2</v>
      </c>
      <c r="B6" s="13" t="inlineStr">
        <is>
          <t>Coco Gauff</t>
        </is>
      </c>
      <c r="C6" s="13" t="inlineStr">
        <is>
          <t>Dec 2025</t>
        </is>
      </c>
      <c r="D6" s="22" t="inlineStr">
        <is>
          <t>Open</t>
        </is>
      </c>
      <c r="E6" s="13" t="inlineStr">
        <is>
          <t>Confirm pregnant or sell</t>
        </is>
      </c>
    </row>
    <row r="7">
      <c r="A7" s="13" t="n">
        <v>3</v>
      </c>
      <c r="B7" s="13" t="inlineStr">
        <is>
          <t>Venus</t>
        </is>
      </c>
      <c r="C7" s="13" t="inlineStr">
        <is>
          <t>Dec 2025</t>
        </is>
      </c>
      <c r="D7" s="22" t="inlineStr">
        <is>
          <t>Open</t>
        </is>
      </c>
      <c r="E7" s="13" t="inlineStr">
        <is>
          <t>Confirm pregnant or sell</t>
        </is>
      </c>
    </row>
    <row r="8">
      <c r="A8" s="13" t="n">
        <v>4</v>
      </c>
      <c r="B8" s="13" t="inlineStr">
        <is>
          <t>Serena</t>
        </is>
      </c>
      <c r="C8" s="13" t="inlineStr">
        <is>
          <t>Feb 2026</t>
        </is>
      </c>
      <c r="D8" s="22" t="inlineStr">
        <is>
          <t>Open</t>
        </is>
      </c>
      <c r="E8" s="13" t="inlineStr">
        <is>
          <t>Re-breed urgently — precocious bloodline</t>
        </is>
      </c>
    </row>
    <row r="9">
      <c r="A9" s="13" t="n">
        <v>5</v>
      </c>
      <c r="B9" s="13" t="inlineStr">
        <is>
          <t>Maitlhwana</t>
        </is>
      </c>
      <c r="C9" s="13" t="inlineStr">
        <is>
          <t>Feb 2026</t>
        </is>
      </c>
      <c r="D9" s="22" t="inlineStr">
        <is>
          <t>Open</t>
        </is>
      </c>
      <c r="E9" s="13" t="inlineStr">
        <is>
          <t>Re-breed</t>
        </is>
      </c>
    </row>
    <row r="10">
      <c r="A10" s="13" t="n">
        <v>6</v>
      </c>
      <c r="B10" s="13" t="inlineStr">
        <is>
          <t>Lebese</t>
        </is>
      </c>
      <c r="C10" s="13" t="inlineStr">
        <is>
          <t>Mar 2026</t>
        </is>
      </c>
      <c r="D10" s="22" t="inlineStr">
        <is>
          <t>Open</t>
        </is>
      </c>
      <c r="E10" s="13" t="inlineStr">
        <is>
          <t>Re-breed</t>
        </is>
      </c>
    </row>
    <row r="11">
      <c r="A11" s="13" t="n">
        <v>7</v>
      </c>
      <c r="B11" s="13" t="inlineStr">
        <is>
          <t>Kgetlheng</t>
        </is>
      </c>
      <c r="C11" s="13" t="inlineStr">
        <is>
          <t>May 2026</t>
        </is>
      </c>
      <c r="D11" s="22" t="inlineStr">
        <is>
          <t>Open</t>
        </is>
      </c>
      <c r="E11" s="13" t="inlineStr">
        <is>
          <t>Re-breed</t>
        </is>
      </c>
    </row>
    <row r="12">
      <c r="A12" s="13" t="n">
        <v>8</v>
      </c>
      <c r="B12" s="13" t="inlineStr">
        <is>
          <t>Kalajane</t>
        </is>
      </c>
      <c r="C12" s="13" t="inlineStr">
        <is>
          <t>Aug 2026</t>
        </is>
      </c>
      <c r="D12" s="22" t="inlineStr">
        <is>
          <t>Open</t>
        </is>
      </c>
      <c r="E12" s="13" t="inlineStr">
        <is>
          <t>Just calved 14/05/2026 — wait for cycle</t>
        </is>
      </c>
    </row>
    <row r="15">
      <c r="A15" s="38" t="inlineStr">
        <is>
          <t>Confirmed Pregnant Cows (14) — listed in delivery order</t>
        </is>
      </c>
    </row>
    <row r="16">
      <c r="A16" s="12" t="inlineStr">
        <is>
          <t>#</t>
        </is>
      </c>
      <c r="B16" s="12" t="inlineStr">
        <is>
          <t>Cow</t>
        </is>
      </c>
      <c r="C16" s="12" t="inlineStr">
        <is>
          <t>Due Date</t>
        </is>
      </c>
      <c r="D16" s="12" t="inlineStr">
        <is>
          <t>Service Date</t>
        </is>
      </c>
      <c r="E16" s="12" t="inlineStr">
        <is>
          <t>Notes</t>
        </is>
      </c>
    </row>
    <row r="17">
      <c r="A17" s="33" t="n">
        <v>1</v>
      </c>
      <c r="B17" s="33" t="inlineStr">
        <is>
          <t>Lapi</t>
        </is>
      </c>
      <c r="C17" s="33" t="inlineStr">
        <is>
          <t>30/06/2026</t>
        </is>
      </c>
      <c r="D17" s="33" t="inlineStr">
        <is>
          <t>19/09/2025</t>
        </is>
      </c>
      <c r="E17" s="33" t="inlineStr"/>
    </row>
    <row r="18">
      <c r="A18" s="33" t="n">
        <v>2</v>
      </c>
      <c r="B18" s="33" t="inlineStr">
        <is>
          <t>Georgina</t>
        </is>
      </c>
      <c r="C18" s="33" t="inlineStr">
        <is>
          <t>30/06/2026</t>
        </is>
      </c>
      <c r="D18" s="33" t="inlineStr">
        <is>
          <t>10/02/2025</t>
        </is>
      </c>
      <c r="E18" s="33" t="inlineStr"/>
    </row>
    <row r="19">
      <c r="A19" s="33" t="n">
        <v>3</v>
      </c>
      <c r="B19" s="33" t="inlineStr">
        <is>
          <t>Mmadikrempe</t>
        </is>
      </c>
      <c r="C19" s="33" t="inlineStr">
        <is>
          <t>30/06/2026</t>
        </is>
      </c>
      <c r="D19" s="33" t="inlineStr"/>
      <c r="E19" s="33" t="inlineStr"/>
    </row>
    <row r="20">
      <c r="A20" s="33" t="n">
        <v>4</v>
      </c>
      <c r="B20" s="33" t="inlineStr">
        <is>
          <t>Baizani</t>
        </is>
      </c>
      <c r="C20" s="33" t="inlineStr">
        <is>
          <t>02/07/2026</t>
        </is>
      </c>
      <c r="D20" s="33" t="inlineStr">
        <is>
          <t>01/02/2025</t>
        </is>
      </c>
      <c r="E20" s="33" t="inlineStr"/>
    </row>
    <row r="21">
      <c r="A21" s="33" t="n">
        <v>5</v>
      </c>
      <c r="B21" s="33" t="inlineStr">
        <is>
          <t>Surprise</t>
        </is>
      </c>
      <c r="C21" s="33" t="inlineStr">
        <is>
          <t>04/08/2026</t>
        </is>
      </c>
      <c r="D21" s="33" t="inlineStr">
        <is>
          <t>25/10/2025</t>
        </is>
      </c>
      <c r="E21" s="33" t="inlineStr"/>
    </row>
    <row r="22">
      <c r="A22" s="33" t="n">
        <v>6</v>
      </c>
      <c r="B22" s="33" t="inlineStr">
        <is>
          <t>Mantabole</t>
        </is>
      </c>
      <c r="C22" s="33" t="inlineStr">
        <is>
          <t>30/09/2026</t>
        </is>
      </c>
      <c r="D22" s="33" t="inlineStr">
        <is>
          <t>21/12/2025</t>
        </is>
      </c>
      <c r="E22" s="33" t="inlineStr"/>
    </row>
    <row r="23">
      <c r="A23" s="33" t="n">
        <v>7</v>
      </c>
      <c r="B23" s="33" t="inlineStr">
        <is>
          <t>Leruo</t>
        </is>
      </c>
      <c r="C23" s="33" t="inlineStr">
        <is>
          <t>19/10/2026</t>
        </is>
      </c>
      <c r="D23" s="33" t="inlineStr"/>
      <c r="E23" s="33" t="inlineStr">
        <is>
          <t>First-time mother</t>
        </is>
      </c>
    </row>
    <row r="24">
      <c r="A24" s="33" t="n">
        <v>8</v>
      </c>
      <c r="B24" s="33" t="inlineStr">
        <is>
          <t>Makantase Jr (Junior)</t>
        </is>
      </c>
      <c r="C24" s="33" t="inlineStr">
        <is>
          <t>09/11/2026</t>
        </is>
      </c>
      <c r="D24" s="33" t="inlineStr">
        <is>
          <t>21/12/2025</t>
        </is>
      </c>
      <c r="E24" s="33" t="inlineStr"/>
    </row>
    <row r="25">
      <c r="A25" s="33" t="n">
        <v>9</v>
      </c>
      <c r="B25" s="33" t="inlineStr">
        <is>
          <t>Amogelang</t>
        </is>
      </c>
      <c r="C25" s="33" t="inlineStr">
        <is>
          <t>30/12/2026</t>
        </is>
      </c>
      <c r="D25" s="33" t="inlineStr"/>
      <c r="E25" s="33" t="inlineStr">
        <is>
          <t>First-time mother</t>
        </is>
      </c>
    </row>
    <row r="26">
      <c r="A26" s="33" t="n">
        <v>10</v>
      </c>
      <c r="B26" s="33" t="inlineStr">
        <is>
          <t>Zondi</t>
        </is>
      </c>
      <c r="C26" s="33" t="inlineStr">
        <is>
          <t>30/12/2026</t>
        </is>
      </c>
      <c r="D26" s="33" t="inlineStr"/>
      <c r="E26" s="33" t="inlineStr"/>
    </row>
    <row r="27">
      <c r="A27" s="33" t="n">
        <v>11</v>
      </c>
      <c r="B27" s="33" t="inlineStr">
        <is>
          <t>Witkouse</t>
        </is>
      </c>
      <c r="C27" s="33" t="inlineStr">
        <is>
          <t>30/12/2026</t>
        </is>
      </c>
      <c r="D27" s="33" t="inlineStr"/>
      <c r="E27" s="33" t="inlineStr"/>
    </row>
    <row r="28">
      <c r="A28" s="33" t="n">
        <v>12</v>
      </c>
      <c r="B28" s="33" t="inlineStr">
        <is>
          <t>Mpho</t>
        </is>
      </c>
      <c r="C28" s="33" t="inlineStr">
        <is>
          <t>31/12/2026</t>
        </is>
      </c>
      <c r="D28" s="33" t="inlineStr"/>
      <c r="E28" s="33" t="inlineStr"/>
    </row>
    <row r="29">
      <c r="A29" s="33" t="n">
        <v>13</v>
      </c>
      <c r="B29" s="33" t="inlineStr">
        <is>
          <t>Makantase</t>
        </is>
      </c>
      <c r="C29" s="33" t="inlineStr">
        <is>
          <t>28/02/2027</t>
        </is>
      </c>
      <c r="D29" s="33" t="inlineStr"/>
      <c r="E29" s="33" t="inlineStr"/>
    </row>
    <row r="30">
      <c r="A30" s="33" t="n">
        <v>14</v>
      </c>
      <c r="B30" s="33" t="inlineStr">
        <is>
          <t>Nandipha Magudumana</t>
        </is>
      </c>
      <c r="C30" s="33" t="inlineStr">
        <is>
          <t>TBC</t>
        </is>
      </c>
      <c r="D30" s="33" t="inlineStr"/>
      <c r="E30" s="33" t="inlineStr">
        <is>
          <t>Due date to be calculated</t>
        </is>
      </c>
    </row>
    <row r="33">
      <c r="A33" s="38" t="inlineStr">
        <is>
          <t>Covered Cows (servicing observation log)</t>
        </is>
      </c>
    </row>
    <row r="34">
      <c r="A34" s="12" t="inlineStr">
        <is>
          <t>#</t>
        </is>
      </c>
      <c r="B34" s="12" t="inlineStr">
        <is>
          <t>Cow</t>
        </is>
      </c>
      <c r="C34" s="12" t="inlineStr">
        <is>
          <t>Covered Date</t>
        </is>
      </c>
      <c r="D34" s="12" t="inlineStr">
        <is>
          <t>Pregnancy Status</t>
        </is>
      </c>
      <c r="E34" s="12" t="inlineStr">
        <is>
          <t>Notes</t>
        </is>
      </c>
    </row>
    <row r="35">
      <c r="A35" s="13" t="n">
        <v>1</v>
      </c>
      <c r="B35" s="13" t="inlineStr">
        <is>
          <t>Baizani</t>
        </is>
      </c>
      <c r="C35" s="13" t="inlineStr">
        <is>
          <t>01/02/2025</t>
        </is>
      </c>
      <c r="D35" s="24" t="inlineStr">
        <is>
          <t>Confirmed</t>
        </is>
      </c>
      <c r="E35" s="13" t="inlineStr"/>
    </row>
    <row r="36">
      <c r="A36" s="13" t="n">
        <v>2</v>
      </c>
      <c r="B36" s="13" t="inlineStr">
        <is>
          <t>Georgina</t>
        </is>
      </c>
      <c r="C36" s="13" t="inlineStr">
        <is>
          <t>10/02/2025</t>
        </is>
      </c>
      <c r="D36" s="24" t="inlineStr">
        <is>
          <t>Confirmed</t>
        </is>
      </c>
      <c r="E36" s="13" t="inlineStr"/>
    </row>
    <row r="37">
      <c r="A37" s="13" t="n">
        <v>3</v>
      </c>
      <c r="B37" s="13" t="inlineStr">
        <is>
          <t>Surprise</t>
        </is>
      </c>
      <c r="C37" s="13" t="inlineStr">
        <is>
          <t>25/10/2025</t>
        </is>
      </c>
      <c r="D37" s="24" t="inlineStr">
        <is>
          <t>Confirmed</t>
        </is>
      </c>
      <c r="E37" s="13" t="inlineStr"/>
    </row>
    <row r="38">
      <c r="A38" s="13" t="n">
        <v>4</v>
      </c>
      <c r="B38" s="13" t="inlineStr">
        <is>
          <t>Lapi</t>
        </is>
      </c>
      <c r="C38" s="13" t="inlineStr">
        <is>
          <t>19/09/2025</t>
        </is>
      </c>
      <c r="D38" s="24" t="inlineStr">
        <is>
          <t>Confirmed</t>
        </is>
      </c>
      <c r="E38" s="13" t="inlineStr"/>
    </row>
    <row r="39">
      <c r="A39" s="13" t="n">
        <v>5</v>
      </c>
      <c r="B39" s="13" t="inlineStr">
        <is>
          <t>Mantabole</t>
        </is>
      </c>
      <c r="C39" s="13" t="inlineStr">
        <is>
          <t>21/12/2025</t>
        </is>
      </c>
      <c r="D39" s="24" t="inlineStr">
        <is>
          <t>Confirmed</t>
        </is>
      </c>
      <c r="E39" s="13" t="inlineStr"/>
    </row>
    <row r="40">
      <c r="A40" s="13" t="n">
        <v>6</v>
      </c>
      <c r="B40" s="13" t="inlineStr">
        <is>
          <t>Makantase Jr</t>
        </is>
      </c>
      <c r="C40" s="13" t="inlineStr">
        <is>
          <t>21/12/2025</t>
        </is>
      </c>
      <c r="D40" s="24" t="inlineStr">
        <is>
          <t>Confirmed</t>
        </is>
      </c>
      <c r="E40" s="13">
        <f> Junior</f>
        <v/>
      </c>
    </row>
    <row r="43">
      <c r="A43" s="4" t="inlineStr">
        <is>
          <t>Legend</t>
        </is>
      </c>
    </row>
    <row r="44">
      <c r="A44" s="41" t="inlineStr">
        <is>
          <t>Confirmed</t>
        </is>
      </c>
      <c r="B44" s="42" t="inlineStr">
        <is>
          <t>Pregnancy confirmed — cow is on the Calving Calendar.</t>
        </is>
      </c>
      <c r="C44" s="43" t="n"/>
      <c r="D44" s="43" t="n"/>
      <c r="E44" s="44" t="n"/>
    </row>
    <row r="45">
      <c r="A45" s="45" t="inlineStr">
        <is>
          <t>Open</t>
        </is>
      </c>
      <c r="B45" s="42" t="inlineStr">
        <is>
          <t>Truly open — needs to be bred, or never calved at breeding age.</t>
        </is>
      </c>
      <c r="C45" s="43" t="n"/>
      <c r="D45" s="43" t="n"/>
      <c r="E45" s="44" t="n"/>
    </row>
  </sheetData>
  <mergeCells count="6">
    <mergeCell ref="A1:D1"/>
    <mergeCell ref="B45:E45"/>
    <mergeCell ref="A15:E15"/>
    <mergeCell ref="A3:D3"/>
    <mergeCell ref="B44:E44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8" customWidth="1" min="4" max="4"/>
    <col width="50" customWidth="1" min="5" max="5"/>
  </cols>
  <sheetData>
    <row r="1">
      <c r="A1" s="1" t="inlineStr">
        <is>
          <t>Expected Order of Delivery</t>
        </is>
      </c>
    </row>
    <row r="3">
      <c r="A3" s="12" t="inlineStr">
        <is>
          <t>#</t>
        </is>
      </c>
      <c r="B3" s="12" t="inlineStr">
        <is>
          <t>Cow</t>
        </is>
      </c>
      <c r="C3" s="12" t="inlineStr">
        <is>
          <t>Due Date</t>
        </is>
      </c>
      <c r="D3" s="12" t="inlineStr">
        <is>
          <t>Pregnancy Status</t>
        </is>
      </c>
      <c r="E3" s="12" t="inlineStr">
        <is>
          <t>Notes</t>
        </is>
      </c>
    </row>
    <row r="4">
      <c r="A4" s="13" t="n">
        <v>1</v>
      </c>
      <c r="B4" s="13" t="inlineStr">
        <is>
          <t>Lapi</t>
        </is>
      </c>
      <c r="C4" s="18" t="n">
        <v>46203</v>
      </c>
      <c r="D4" s="24" t="inlineStr">
        <is>
          <t>Confirmed</t>
        </is>
      </c>
      <c r="E4" s="13" t="inlineStr"/>
    </row>
    <row r="5">
      <c r="A5" s="13" t="n">
        <v>2</v>
      </c>
      <c r="B5" s="13" t="inlineStr">
        <is>
          <t>Georgina</t>
        </is>
      </c>
      <c r="C5" s="18" t="n">
        <v>46203</v>
      </c>
      <c r="D5" s="24" t="inlineStr">
        <is>
          <t>Confirmed</t>
        </is>
      </c>
      <c r="E5" s="13" t="inlineStr">
        <is>
          <t>Source had 31/06 (invalid) — corrected</t>
        </is>
      </c>
    </row>
    <row r="6">
      <c r="A6" s="13" t="n">
        <v>3</v>
      </c>
      <c r="B6" s="13" t="inlineStr">
        <is>
          <t>Mmadikrempe</t>
        </is>
      </c>
      <c r="C6" s="18" t="n">
        <v>46203</v>
      </c>
      <c r="D6" s="24" t="inlineStr">
        <is>
          <t>Confirmed</t>
        </is>
      </c>
      <c r="E6" s="13" t="inlineStr">
        <is>
          <t>Source had 31/06 (invalid) — corrected</t>
        </is>
      </c>
    </row>
    <row r="7">
      <c r="A7" s="13" t="n">
        <v>4</v>
      </c>
      <c r="B7" s="13" t="inlineStr">
        <is>
          <t>Baizani</t>
        </is>
      </c>
      <c r="C7" s="18" t="n">
        <v>46205</v>
      </c>
      <c r="D7" s="24" t="inlineStr">
        <is>
          <t>Confirmed</t>
        </is>
      </c>
      <c r="E7" s="13" t="inlineStr"/>
    </row>
    <row r="8">
      <c r="A8" s="13" t="n">
        <v>5</v>
      </c>
      <c r="B8" s="13" t="inlineStr">
        <is>
          <t>Surprise</t>
        </is>
      </c>
      <c r="C8" s="18" t="n">
        <v>46238</v>
      </c>
      <c r="D8" s="24" t="inlineStr">
        <is>
          <t>Confirmed</t>
        </is>
      </c>
      <c r="E8" s="13" t="inlineStr"/>
    </row>
    <row r="9">
      <c r="A9" s="13" t="n">
        <v>6</v>
      </c>
      <c r="B9" s="13" t="inlineStr">
        <is>
          <t>Mantabole</t>
        </is>
      </c>
      <c r="C9" s="18" t="n">
        <v>46295</v>
      </c>
      <c r="D9" s="24" t="inlineStr">
        <is>
          <t>Confirmed</t>
        </is>
      </c>
      <c r="E9" s="13" t="inlineStr"/>
    </row>
    <row r="10">
      <c r="A10" s="13" t="n">
        <v>7</v>
      </c>
      <c r="B10" s="13" t="inlineStr">
        <is>
          <t>Leruo</t>
        </is>
      </c>
      <c r="C10" s="18" t="n">
        <v>46314</v>
      </c>
      <c r="D10" s="24" t="inlineStr">
        <is>
          <t>Confirmed</t>
        </is>
      </c>
      <c r="E10" s="13" t="inlineStr">
        <is>
          <t>First-time mother</t>
        </is>
      </c>
    </row>
    <row r="11">
      <c r="A11" s="13" t="n">
        <v>8</v>
      </c>
      <c r="B11" s="13" t="inlineStr">
        <is>
          <t>Makantase Jr</t>
        </is>
      </c>
      <c r="C11" s="18" t="n">
        <v>46335</v>
      </c>
      <c r="D11" s="24" t="inlineStr">
        <is>
          <t>Confirmed</t>
        </is>
      </c>
      <c r="E11" s="13">
        <f> Junior</f>
        <v/>
      </c>
    </row>
    <row r="12">
      <c r="A12" s="13" t="n">
        <v>9</v>
      </c>
      <c r="B12" s="13" t="inlineStr">
        <is>
          <t>Amogelang</t>
        </is>
      </c>
      <c r="C12" s="18" t="n">
        <v>46386</v>
      </c>
      <c r="D12" s="24" t="inlineStr">
        <is>
          <t>Confirmed</t>
        </is>
      </c>
      <c r="E12" s="13" t="inlineStr">
        <is>
          <t>First-time mother</t>
        </is>
      </c>
    </row>
    <row r="13">
      <c r="A13" s="13" t="n">
        <v>10</v>
      </c>
      <c r="B13" s="13" t="inlineStr">
        <is>
          <t>Zondi</t>
        </is>
      </c>
      <c r="C13" s="18" t="n">
        <v>46386</v>
      </c>
      <c r="D13" s="24" t="inlineStr">
        <is>
          <t>Confirmed</t>
        </is>
      </c>
      <c r="E13" s="13" t="inlineStr"/>
    </row>
    <row r="14">
      <c r="A14" s="13" t="n">
        <v>11</v>
      </c>
      <c r="B14" s="13" t="inlineStr">
        <is>
          <t>Witkouse</t>
        </is>
      </c>
      <c r="C14" s="18" t="n">
        <v>46386</v>
      </c>
      <c r="D14" s="24" t="inlineStr">
        <is>
          <t>Confirmed</t>
        </is>
      </c>
      <c r="E14" s="13" t="inlineStr"/>
    </row>
    <row r="15">
      <c r="A15" s="13" t="n">
        <v>12</v>
      </c>
      <c r="B15" s="13" t="inlineStr">
        <is>
          <t>Mpho</t>
        </is>
      </c>
      <c r="C15" s="18" t="n">
        <v>46387</v>
      </c>
      <c r="D15" s="24" t="inlineStr">
        <is>
          <t>Confirmed</t>
        </is>
      </c>
      <c r="E15" s="13" t="inlineStr"/>
    </row>
    <row r="16">
      <c r="A16" s="13" t="n">
        <v>13</v>
      </c>
      <c r="B16" s="13" t="inlineStr">
        <is>
          <t>Makantase</t>
        </is>
      </c>
      <c r="C16" s="18" t="n">
        <v>46446</v>
      </c>
      <c r="D16" s="24" t="inlineStr">
        <is>
          <t>Confirmed</t>
        </is>
      </c>
      <c r="E16" s="13" t="inlineStr">
        <is>
          <t>Source had 30/02 (invalid) — corrected</t>
        </is>
      </c>
    </row>
    <row r="17">
      <c r="A17" s="13" t="n">
        <v>14</v>
      </c>
      <c r="B17" s="13" t="inlineStr">
        <is>
          <t>Nandipha Magudumana</t>
        </is>
      </c>
      <c r="C17" s="13" t="n"/>
      <c r="D17" s="24" t="inlineStr">
        <is>
          <t>Confirmed</t>
        </is>
      </c>
      <c r="E17" s="13" t="inlineStr">
        <is>
          <t>Date TBC</t>
        </is>
      </c>
    </row>
    <row r="19">
      <c r="A19" s="46" t="inlineStr">
        <is>
          <t>All 14 cows above are confirmed pregnant.</t>
        </is>
      </c>
    </row>
  </sheetData>
  <mergeCells count="2">
    <mergeCell ref="A1:E1"/>
    <mergeCell ref="A19:E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50" customWidth="1" min="5" max="5"/>
  </cols>
  <sheetData>
    <row r="1">
      <c r="A1" s="1" t="inlineStr">
        <is>
          <t>Calving Rate by Year</t>
        </is>
      </c>
    </row>
    <row r="3">
      <c r="A3" s="12" t="inlineStr">
        <is>
          <t>Year</t>
        </is>
      </c>
      <c r="B3" s="12" t="inlineStr">
        <is>
          <t>Total Calves</t>
        </is>
      </c>
      <c r="C3" s="12" t="inlineStr">
        <is>
          <t>Female</t>
        </is>
      </c>
      <c r="D3" s="12" t="inlineStr">
        <is>
          <t>Male</t>
        </is>
      </c>
      <c r="E3" s="12" t="inlineStr">
        <is>
          <t>Notes</t>
        </is>
      </c>
    </row>
    <row r="4">
      <c r="A4" s="21" t="n">
        <v>2023</v>
      </c>
      <c r="B4" s="13" t="n">
        <v>6</v>
      </c>
      <c r="C4" s="13" t="n">
        <v>4</v>
      </c>
      <c r="D4" s="13" t="n">
        <v>2</v>
      </c>
      <c r="E4" s="13" t="inlineStr">
        <is>
          <t>1 M sold</t>
        </is>
      </c>
    </row>
    <row r="5">
      <c r="A5" s="21" t="n">
        <v>2024</v>
      </c>
      <c r="B5" s="13" t="n">
        <v>8</v>
      </c>
      <c r="C5" s="13" t="n">
        <v>4</v>
      </c>
      <c r="D5" s="13" t="n">
        <v>4</v>
      </c>
      <c r="E5" s="13" t="inlineStr">
        <is>
          <t>5 M sold (Russell, Gijima, Mzambia, Nyovest, Madiketane)</t>
        </is>
      </c>
    </row>
    <row r="6">
      <c r="A6" s="21" t="n">
        <v>2025</v>
      </c>
      <c r="B6" s="13" t="n">
        <v>9</v>
      </c>
      <c r="C6" s="13" t="n">
        <v>4</v>
      </c>
      <c r="D6" s="13" t="n">
        <v>5</v>
      </c>
      <c r="E6" s="13" t="inlineStr">
        <is>
          <t>1 calf mortality (Kgomotso/Tshidi); Madlisa lost &amp; sold</t>
        </is>
      </c>
    </row>
    <row r="7">
      <c r="A7" s="21" t="n">
        <v>2026</v>
      </c>
      <c r="B7" s="13" t="n">
        <v>3</v>
      </c>
      <c r="C7" s="13" t="n">
        <v>2</v>
      </c>
      <c r="D7" s="13" t="n">
        <v>1</v>
      </c>
      <c r="E7" s="13" t="inlineStr">
        <is>
          <t>Year still in progress</t>
        </is>
      </c>
    </row>
    <row r="8">
      <c r="A8" s="47" t="inlineStr">
        <is>
          <t>Total</t>
        </is>
      </c>
      <c r="B8" s="47">
        <f>SUM(B4:B7)</f>
        <v/>
      </c>
      <c r="C8" s="47">
        <f>SUM(C4:C7)</f>
        <v/>
      </c>
      <c r="D8" s="47">
        <f>SUM(D4:D7)</f>
        <v/>
      </c>
      <c r="E8" s="48" t="n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Owner Summary</t>
        </is>
      </c>
    </row>
    <row r="3">
      <c r="A3" s="12" t="inlineStr">
        <is>
          <t>Metric</t>
        </is>
      </c>
      <c r="B3" s="12" t="inlineStr">
        <is>
          <t>Jijo</t>
        </is>
      </c>
      <c r="C3" s="12" t="inlineStr">
        <is>
          <t>Olly</t>
        </is>
      </c>
      <c r="D3" s="12" t="inlineStr">
        <is>
          <t>Tumi</t>
        </is>
      </c>
      <c r="E3" s="12" t="inlineStr">
        <is>
          <t>Total</t>
        </is>
      </c>
    </row>
    <row r="4">
      <c r="A4" s="49" t="inlineStr">
        <is>
          <t>Older animals</t>
        </is>
      </c>
      <c r="B4" s="50" t="n">
        <v>12</v>
      </c>
      <c r="C4" s="50" t="n">
        <v>16</v>
      </c>
      <c r="D4" s="50" t="n">
        <v>24</v>
      </c>
      <c r="E4" s="51">
        <f>SUM(B4:D4)</f>
        <v/>
      </c>
    </row>
    <row r="5">
      <c r="A5" s="49" t="inlineStr">
        <is>
          <t>Calves</t>
        </is>
      </c>
      <c r="B5" s="50" t="n">
        <v>9</v>
      </c>
      <c r="C5" s="50" t="n">
        <v>9</v>
      </c>
      <c r="D5" s="50" t="n">
        <v>16</v>
      </c>
      <c r="E5" s="51">
        <f>SUM(B5:D5)</f>
        <v/>
      </c>
    </row>
    <row r="6">
      <c r="A6" s="49" t="inlineStr">
        <is>
          <t>Total head</t>
        </is>
      </c>
      <c r="B6" s="50" t="n">
        <v>21</v>
      </c>
      <c r="C6" s="50" t="n">
        <v>25</v>
      </c>
      <c r="D6" s="50" t="n">
        <v>40</v>
      </c>
      <c r="E6" s="51">
        <f>SUM(B6:D6)</f>
        <v/>
      </c>
    </row>
    <row r="7">
      <c r="A7" s="49" t="inlineStr">
        <is>
          <t>Productive cows</t>
        </is>
      </c>
      <c r="B7" s="50" t="n">
        <v>11</v>
      </c>
      <c r="C7" s="50" t="n">
        <v>9</v>
      </c>
      <c r="D7" s="50" t="n">
        <v>19</v>
      </c>
      <c r="E7" s="51">
        <f>SUM(B7:D7)</f>
        <v/>
      </c>
    </row>
    <row r="8">
      <c r="A8" s="49" t="inlineStr">
        <is>
          <t>Heifer calves</t>
        </is>
      </c>
      <c r="B8" s="50" t="n">
        <v>6</v>
      </c>
      <c r="C8" s="50" t="n">
        <v>10</v>
      </c>
      <c r="D8" s="50" t="n">
        <v>17</v>
      </c>
      <c r="E8" s="51">
        <f>SUM(B8:D8)</f>
        <v/>
      </c>
    </row>
    <row r="9">
      <c r="A9" s="49" t="inlineStr">
        <is>
          <t>Bull calves</t>
        </is>
      </c>
      <c r="B9" s="50" t="n">
        <v>1</v>
      </c>
      <c r="C9" s="50" t="n">
        <v>3</v>
      </c>
      <c r="D9" s="50" t="n">
        <v>7</v>
      </c>
      <c r="E9" s="51">
        <f>SUM(B9:D9)</f>
        <v/>
      </c>
    </row>
    <row r="10">
      <c r="A10" s="49" t="inlineStr">
        <is>
          <t>Breeding cows</t>
        </is>
      </c>
      <c r="B10" s="50" t="n">
        <v>7</v>
      </c>
      <c r="C10" s="50" t="n">
        <v>12</v>
      </c>
      <c r="D10" s="50" t="n">
        <v>17</v>
      </c>
      <c r="E10" s="51">
        <f>SUM(B10:D10)</f>
        <v/>
      </c>
    </row>
    <row r="11">
      <c r="A11" s="49" t="inlineStr">
        <is>
          <t>Births in 2025</t>
        </is>
      </c>
      <c r="B11" s="50" t="n">
        <v>2</v>
      </c>
      <c r="C11" s="50" t="n">
        <v>5</v>
      </c>
      <c r="D11" s="50" t="n">
        <v>9</v>
      </c>
      <c r="E11" s="51">
        <f>SUM(B11:D11)</f>
        <v/>
      </c>
    </row>
    <row r="12">
      <c r="A12" s="49" t="inlineStr">
        <is>
          <t>Bull calves sold</t>
        </is>
      </c>
      <c r="B12" s="50" t="n">
        <v>0</v>
      </c>
      <c r="C12" s="50" t="n">
        <v>0</v>
      </c>
      <c r="D12" s="50" t="n">
        <v>5</v>
      </c>
      <c r="E12" s="51">
        <f>SUM(B12:D12)</f>
        <v/>
      </c>
    </row>
    <row r="13">
      <c r="A13" s="49" t="inlineStr">
        <is>
          <t>Mortality (cows)</t>
        </is>
      </c>
      <c r="B13" s="50" t="n">
        <v>1</v>
      </c>
      <c r="C13" s="50" t="n">
        <v>1</v>
      </c>
      <c r="D13" s="50" t="n">
        <v>1</v>
      </c>
      <c r="E13" s="51">
        <f>SUM(B13:D13)</f>
        <v/>
      </c>
    </row>
    <row r="14">
      <c r="A14" s="49" t="inlineStr">
        <is>
          <t>Mortality (calves)</t>
        </is>
      </c>
      <c r="B14" s="50" t="n">
        <v>0</v>
      </c>
      <c r="C14" s="50" t="n">
        <v>0</v>
      </c>
      <c r="D14" s="50" t="n">
        <v>1</v>
      </c>
      <c r="E14" s="51">
        <f>SUM(B14:D14)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6" customWidth="1" min="4" max="4"/>
    <col width="50" customWidth="1" min="5" max="5"/>
  </cols>
  <sheetData>
    <row r="1">
      <c r="A1" s="1" t="inlineStr">
        <is>
          <t>Sold, Slaughtered, Stolen, Deceased</t>
        </is>
      </c>
    </row>
    <row r="3">
      <c r="A3" s="12" t="inlineStr">
        <is>
          <t>Name</t>
        </is>
      </c>
      <c r="B3" s="12" t="inlineStr">
        <is>
          <t>Sex</t>
        </is>
      </c>
      <c r="C3" s="12" t="inlineStr">
        <is>
          <t>Date / Year</t>
        </is>
      </c>
      <c r="D3" s="12" t="inlineStr">
        <is>
          <t>Disposition</t>
        </is>
      </c>
      <c r="E3" s="12" t="inlineStr">
        <is>
          <t>Notes</t>
        </is>
      </c>
    </row>
    <row r="4">
      <c r="A4" s="39" t="inlineStr">
        <is>
          <t>Madiketane (bull calf)</t>
        </is>
      </c>
      <c r="B4" s="39" t="inlineStr">
        <is>
          <t>M</t>
        </is>
      </c>
      <c r="C4" s="39" t="inlineStr">
        <is>
          <t>19 Jul 2024</t>
        </is>
      </c>
      <c r="D4" s="39" t="inlineStr">
        <is>
          <t>Sold</t>
        </is>
      </c>
      <c r="E4" s="39" t="inlineStr"/>
    </row>
    <row r="5">
      <c r="A5" s="39" t="inlineStr">
        <is>
          <t>Madiketane (cow)</t>
        </is>
      </c>
      <c r="B5" s="39" t="inlineStr">
        <is>
          <t>F</t>
        </is>
      </c>
      <c r="C5" s="39" t="inlineStr"/>
      <c r="D5" s="39" t="inlineStr">
        <is>
          <t>Slaughtered</t>
        </is>
      </c>
      <c r="E5" s="39" t="inlineStr">
        <is>
          <t>For Manki's funeral</t>
        </is>
      </c>
    </row>
    <row r="6">
      <c r="A6" s="39" t="inlineStr">
        <is>
          <t>Ouma</t>
        </is>
      </c>
      <c r="B6" s="39" t="inlineStr">
        <is>
          <t>F</t>
        </is>
      </c>
      <c r="C6" s="39" t="inlineStr"/>
      <c r="D6" s="39" t="inlineStr">
        <is>
          <t>Sold</t>
        </is>
      </c>
      <c r="E6" s="39" t="inlineStr">
        <is>
          <t>Replaced by Madiketane</t>
        </is>
      </c>
    </row>
    <row r="7">
      <c r="A7" s="39" t="inlineStr">
        <is>
          <t>Ouma's bull calf</t>
        </is>
      </c>
      <c r="B7" s="39" t="inlineStr">
        <is>
          <t>M</t>
        </is>
      </c>
      <c r="C7" s="39" t="inlineStr"/>
      <c r="D7" s="39" t="inlineStr">
        <is>
          <t>Stolen</t>
        </is>
      </c>
      <c r="E7" s="39" t="inlineStr"/>
    </row>
    <row r="8">
      <c r="A8" s="39" t="inlineStr">
        <is>
          <t>Vaal 1</t>
        </is>
      </c>
      <c r="B8" s="39" t="inlineStr">
        <is>
          <t>F</t>
        </is>
      </c>
      <c r="C8" s="39" t="inlineStr"/>
      <c r="D8" s="39" t="inlineStr">
        <is>
          <t>Died</t>
        </is>
      </c>
      <c r="E8" s="39" t="inlineStr">
        <is>
          <t>Died giving birth</t>
        </is>
      </c>
    </row>
    <row r="9">
      <c r="A9" s="39" t="inlineStr">
        <is>
          <t>Vaal 2</t>
        </is>
      </c>
      <c r="B9" s="39" t="inlineStr">
        <is>
          <t>F</t>
        </is>
      </c>
      <c r="C9" s="39" t="inlineStr"/>
      <c r="D9" s="39" t="inlineStr">
        <is>
          <t>Sold/disposed</t>
        </is>
      </c>
      <c r="E9" s="39" t="inlineStr">
        <is>
          <t>Broken leg; Kalajane bought as replacement</t>
        </is>
      </c>
    </row>
    <row r="10">
      <c r="A10" s="39" t="inlineStr">
        <is>
          <t>Vaal 3</t>
        </is>
      </c>
      <c r="B10" s="39" t="inlineStr">
        <is>
          <t>F</t>
        </is>
      </c>
      <c r="C10" s="39" t="inlineStr"/>
      <c r="D10" s="39" t="inlineStr">
        <is>
          <t>Sold</t>
        </is>
      </c>
      <c r="E10" s="39" t="inlineStr">
        <is>
          <t>Other cows bought with proceeds</t>
        </is>
      </c>
    </row>
    <row r="11">
      <c r="A11" s="39" t="inlineStr">
        <is>
          <t>Vaal 4</t>
        </is>
      </c>
      <c r="B11" s="39" t="inlineStr">
        <is>
          <t>F</t>
        </is>
      </c>
      <c r="C11" s="39" t="inlineStr"/>
      <c r="D11" s="39" t="inlineStr">
        <is>
          <t>Sold</t>
        </is>
      </c>
      <c r="E11" s="39" t="inlineStr">
        <is>
          <t>More cows bought with proceeds</t>
        </is>
      </c>
    </row>
    <row r="12">
      <c r="A12" s="39" t="inlineStr">
        <is>
          <t>Pitoria + calf</t>
        </is>
      </c>
      <c r="B12" s="39" t="inlineStr">
        <is>
          <t>F</t>
        </is>
      </c>
      <c r="C12" s="39" t="inlineStr"/>
      <c r="D12" s="39" t="inlineStr">
        <is>
          <t>Exchanged</t>
        </is>
      </c>
      <c r="E12" s="39" t="inlineStr">
        <is>
          <t>Exchanged for Mmadikrempe (Tiki)</t>
        </is>
      </c>
    </row>
    <row r="13">
      <c r="A13" s="39" t="inlineStr">
        <is>
          <t>Mphonyana</t>
        </is>
      </c>
      <c r="B13" s="39" t="inlineStr">
        <is>
          <t>F</t>
        </is>
      </c>
      <c r="C13" s="39" t="inlineStr">
        <is>
          <t>02 Feb 2025</t>
        </is>
      </c>
      <c r="D13" s="39" t="inlineStr">
        <is>
          <t>Deceased</t>
        </is>
      </c>
      <c r="E13" s="39" t="inlineStr">
        <is>
          <t>Struck by lightning. Mother of Bali.</t>
        </is>
      </c>
    </row>
    <row r="14">
      <c r="A14" s="39" t="inlineStr">
        <is>
          <t>Kgomotso (Tshidi)</t>
        </is>
      </c>
      <c r="B14" s="39" t="inlineStr"/>
      <c r="C14" s="39" t="inlineStr">
        <is>
          <t>24 Jan 2025</t>
        </is>
      </c>
      <c r="D14" s="39" t="inlineStr">
        <is>
          <t>Died as calf</t>
        </is>
      </c>
      <c r="E14" s="39" t="inlineStr">
        <is>
          <t>Calf mortality 2025; dam not recorded</t>
        </is>
      </c>
    </row>
    <row r="15">
      <c r="A15" s="39" t="inlineStr">
        <is>
          <t>Madlisa</t>
        </is>
      </c>
      <c r="B15" s="39" t="inlineStr">
        <is>
          <t>M</t>
        </is>
      </c>
      <c r="C15" s="39" t="inlineStr">
        <is>
          <t>Nov 2025</t>
        </is>
      </c>
      <c r="D15" s="39" t="inlineStr">
        <is>
          <t>Sold</t>
        </is>
      </c>
      <c r="E15" s="39" t="inlineStr">
        <is>
          <t>Calf of Junior (Makantase Jr) — lost first calf</t>
        </is>
      </c>
    </row>
    <row r="16">
      <c r="A16" s="39" t="inlineStr">
        <is>
          <t>Gijima</t>
        </is>
      </c>
      <c r="B16" s="39" t="inlineStr">
        <is>
          <t>M</t>
        </is>
      </c>
      <c r="C16" s="39" t="inlineStr">
        <is>
          <t>10 Sep 2024</t>
        </is>
      </c>
      <c r="D16" s="39" t="inlineStr">
        <is>
          <t>Sold</t>
        </is>
      </c>
      <c r="E16" s="39" t="inlineStr">
        <is>
          <t>Calf of Mpho</t>
        </is>
      </c>
    </row>
    <row r="17">
      <c r="A17" s="39" t="inlineStr">
        <is>
          <t>Russell</t>
        </is>
      </c>
      <c r="B17" s="39" t="inlineStr">
        <is>
          <t>M</t>
        </is>
      </c>
      <c r="C17" s="39" t="inlineStr">
        <is>
          <t>07 Sep 2024</t>
        </is>
      </c>
      <c r="D17" s="39" t="inlineStr">
        <is>
          <t>Sold</t>
        </is>
      </c>
      <c r="E17" s="39" t="inlineStr">
        <is>
          <t>Calf of Kgetlheng</t>
        </is>
      </c>
    </row>
    <row r="18">
      <c r="A18" s="39" t="inlineStr">
        <is>
          <t>Mzambia</t>
        </is>
      </c>
      <c r="B18" s="39" t="inlineStr">
        <is>
          <t>M</t>
        </is>
      </c>
      <c r="C18" s="39" t="inlineStr">
        <is>
          <t>19 Sep 2024</t>
        </is>
      </c>
      <c r="D18" s="39" t="inlineStr">
        <is>
          <t>Sold</t>
        </is>
      </c>
      <c r="E18" s="39" t="inlineStr">
        <is>
          <t>Calf of Mmadikrempe (Tiki)</t>
        </is>
      </c>
    </row>
    <row r="19">
      <c r="A19" s="39" t="inlineStr">
        <is>
          <t>Benny</t>
        </is>
      </c>
      <c r="B19" s="39" t="inlineStr">
        <is>
          <t>M</t>
        </is>
      </c>
      <c r="C19" s="39" t="inlineStr"/>
      <c r="D19" s="39" t="inlineStr">
        <is>
          <t>Sold</t>
        </is>
      </c>
      <c r="E19" s="39" t="inlineStr">
        <is>
          <t>Calf of Surprise</t>
        </is>
      </c>
    </row>
    <row r="20">
      <c r="A20" s="39" t="inlineStr">
        <is>
          <t>Nyovest</t>
        </is>
      </c>
      <c r="B20" s="39" t="inlineStr">
        <is>
          <t>M</t>
        </is>
      </c>
      <c r="C20" s="39" t="inlineStr">
        <is>
          <t>09 Dec 2024</t>
        </is>
      </c>
      <c r="D20" s="39" t="inlineStr">
        <is>
          <t>Sold</t>
        </is>
      </c>
      <c r="E20" s="39" t="inlineStr">
        <is>
          <t>Calf of Witkouse</t>
        </is>
      </c>
    </row>
    <row r="21">
      <c r="A21" s="39" t="inlineStr">
        <is>
          <t>30 goats</t>
        </is>
      </c>
      <c r="B21" s="39" t="inlineStr"/>
      <c r="C21" s="39" t="inlineStr">
        <is>
          <t>Nov 2023</t>
        </is>
      </c>
      <c r="D21" s="39" t="inlineStr">
        <is>
          <t>Stolen</t>
        </is>
      </c>
      <c r="E21" s="39" t="inlineStr">
        <is>
          <t>Entire goat herd</t>
        </is>
      </c>
    </row>
    <row r="24">
      <c r="A24" s="4" t="inlineStr">
        <is>
          <t>Pending obligation</t>
        </is>
      </c>
    </row>
    <row r="25">
      <c r="A25" s="16" t="inlineStr">
        <is>
          <t>Obakeng owes a cow.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050"/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40" customWidth="1" min="4" max="4"/>
  </cols>
  <sheetData>
    <row r="1">
      <c r="A1" s="1" t="inlineStr">
        <is>
          <t>First-Time Mothers — Expected Calving</t>
        </is>
      </c>
    </row>
    <row r="3">
      <c r="A3" s="12" t="inlineStr">
        <is>
          <t>Expected Year</t>
        </is>
      </c>
      <c r="B3" s="12" t="inlineStr">
        <is>
          <t>Heifer Born</t>
        </is>
      </c>
      <c r="C3" s="12" t="inlineStr">
        <is>
          <t>Heifer</t>
        </is>
      </c>
      <c r="D3" s="12" t="inlineStr">
        <is>
          <t>Notes</t>
        </is>
      </c>
    </row>
    <row r="4">
      <c r="A4" s="21" t="n">
        <v>2025</v>
      </c>
      <c r="B4" s="21" t="n">
        <v>2022</v>
      </c>
      <c r="C4" s="13" t="inlineStr">
        <is>
          <t>Makantase Jr (Junior)</t>
        </is>
      </c>
      <c r="D4" s="13" t="inlineStr">
        <is>
          <t>Calved Madlisa - sold; pregnant again</t>
        </is>
      </c>
    </row>
    <row r="5">
      <c r="A5" s="21" t="n">
        <v>2025</v>
      </c>
      <c r="B5" s="21" t="n">
        <v>2022</v>
      </c>
      <c r="C5" s="13" t="inlineStr">
        <is>
          <t>Lebese</t>
        </is>
      </c>
      <c r="D5" s="13" t="inlineStr">
        <is>
          <t>Already calved - Makaku (16/12/2025)</t>
        </is>
      </c>
    </row>
    <row r="6">
      <c r="A6" s="21" t="n">
        <v>2025</v>
      </c>
      <c r="B6" s="21" t="n">
        <v>2022</v>
      </c>
      <c r="C6" s="13" t="inlineStr">
        <is>
          <t>Maitlhwana</t>
        </is>
      </c>
      <c r="D6" s="13" t="inlineStr">
        <is>
          <t>Already calved - Mpolokeng (06/11/2025)</t>
        </is>
      </c>
    </row>
    <row r="7">
      <c r="A7" s="21" t="n">
        <v>2026</v>
      </c>
      <c r="B7" s="21" t="n">
        <v>2023</v>
      </c>
      <c r="C7" s="13" t="inlineStr">
        <is>
          <t>Leruo</t>
        </is>
      </c>
      <c r="D7" s="13" t="inlineStr">
        <is>
          <t>Pregnant</t>
        </is>
      </c>
    </row>
    <row r="8">
      <c r="A8" s="21" t="n">
        <v>2026</v>
      </c>
      <c r="B8" s="21" t="n">
        <v>2023</v>
      </c>
      <c r="C8" s="13" t="inlineStr">
        <is>
          <t>Amogelang</t>
        </is>
      </c>
      <c r="D8" s="13" t="inlineStr">
        <is>
          <t>Pregnant</t>
        </is>
      </c>
    </row>
    <row r="9">
      <c r="A9" s="21" t="n">
        <v>2026</v>
      </c>
      <c r="B9" s="21" t="n">
        <v>2023</v>
      </c>
      <c r="C9" s="13" t="inlineStr">
        <is>
          <t>Lerato Makantase</t>
        </is>
      </c>
      <c r="D9" s="13" t="inlineStr">
        <is>
          <t>Still open</t>
        </is>
      </c>
    </row>
    <row r="10">
      <c r="A10" s="21" t="n">
        <v>2027</v>
      </c>
      <c r="B10" s="21" t="n">
        <v>2023</v>
      </c>
      <c r="C10" s="13" t="inlineStr">
        <is>
          <t>Noxy</t>
        </is>
      </c>
      <c r="D10" s="13" t="inlineStr">
        <is>
          <t>(B)</t>
        </is>
      </c>
    </row>
    <row r="11">
      <c r="A11" s="21" t="n">
        <v>2027</v>
      </c>
      <c r="B11" s="21" t="n">
        <v>2023</v>
      </c>
      <c r="C11" s="13" t="inlineStr">
        <is>
          <t>Mmapule</t>
        </is>
      </c>
      <c r="D11" s="13" t="inlineStr"/>
    </row>
    <row r="12">
      <c r="A12" s="21" t="n">
        <v>2027</v>
      </c>
      <c r="B12" s="21" t="n">
        <v>2023</v>
      </c>
      <c r="C12" s="13" t="inlineStr">
        <is>
          <t>Poelo</t>
        </is>
      </c>
      <c r="D12" s="13" t="inlineStr">
        <is>
          <t>(B)</t>
        </is>
      </c>
    </row>
    <row r="13">
      <c r="A13" s="21" t="n">
        <v>2028</v>
      </c>
      <c r="B13" s="21" t="n">
        <v>2024</v>
      </c>
      <c r="C13" s="13" t="inlineStr">
        <is>
          <t>Smongo (Smongonase)</t>
        </is>
      </c>
      <c r="D13" s="13" t="inlineStr">
        <is>
          <t>(B)</t>
        </is>
      </c>
    </row>
    <row r="14">
      <c r="A14" s="21" t="n">
        <v>2028</v>
      </c>
      <c r="B14" s="21" t="n">
        <v>2024</v>
      </c>
      <c r="C14" s="13" t="inlineStr">
        <is>
          <t>Bali (mebala)</t>
        </is>
      </c>
      <c r="D14" s="13" t="inlineStr">
        <is>
          <t>(B)</t>
        </is>
      </c>
    </row>
    <row r="15">
      <c r="A15" s="21" t="n">
        <v>2028</v>
      </c>
      <c r="B15" s="21" t="n">
        <v>2024</v>
      </c>
      <c r="C15" s="13" t="inlineStr">
        <is>
          <t>Madikizela</t>
        </is>
      </c>
      <c r="D15" s="13" t="inlineStr">
        <is>
          <t>(B)</t>
        </is>
      </c>
    </row>
    <row r="16">
      <c r="A16" s="21" t="n">
        <v>2028</v>
      </c>
      <c r="B16" s="21" t="n">
        <v>2024</v>
      </c>
      <c r="C16" s="13" t="inlineStr">
        <is>
          <t>Motlalepula</t>
        </is>
      </c>
      <c r="D16" s="13" t="inlineStr">
        <is>
          <t>(B)</t>
        </is>
      </c>
    </row>
    <row r="17">
      <c r="A17" s="21" t="n">
        <v>2028</v>
      </c>
      <c r="B17" s="21" t="n">
        <v>2025</v>
      </c>
      <c r="C17" s="13" t="inlineStr">
        <is>
          <t>Tlhabi</t>
        </is>
      </c>
      <c r="D17" s="13" t="inlineStr">
        <is>
          <t>(B)</t>
        </is>
      </c>
    </row>
    <row r="18">
      <c r="A18" s="21" t="n">
        <v>2028</v>
      </c>
      <c r="B18" s="21" t="n">
        <v>2025</v>
      </c>
      <c r="C18" s="13" t="inlineStr">
        <is>
          <t>Nomsa</t>
        </is>
      </c>
      <c r="D18" s="13" t="inlineStr"/>
    </row>
    <row r="19">
      <c r="A19" s="21" t="n">
        <v>2028</v>
      </c>
      <c r="B19" s="21" t="n">
        <v>2025</v>
      </c>
      <c r="C19" s="13" t="inlineStr">
        <is>
          <t>Mpolokeng</t>
        </is>
      </c>
      <c r="D19" s="13" t="inlineStr">
        <is>
          <t>(B)</t>
        </is>
      </c>
    </row>
    <row r="20">
      <c r="A20" s="21" t="n">
        <v>2028</v>
      </c>
      <c r="B20" s="21" t="n">
        <v>2025</v>
      </c>
      <c r="C20" s="13" t="inlineStr">
        <is>
          <t>Puleng</t>
        </is>
      </c>
      <c r="D20" s="13" t="inlineStr">
        <is>
          <t>(B)</t>
        </is>
      </c>
    </row>
    <row r="21">
      <c r="A21" s="21" t="n">
        <v>2029</v>
      </c>
      <c r="B21" s="21" t="n">
        <v>2026</v>
      </c>
      <c r="C21" s="13" t="inlineStr">
        <is>
          <t>Bontle</t>
        </is>
      </c>
      <c r="D21" s="13" t="inlineStr">
        <is>
          <t>(B)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History &amp; Misc Notes</t>
        </is>
      </c>
    </row>
    <row r="3">
      <c r="A3" s="12" t="inlineStr">
        <is>
          <t>Date</t>
        </is>
      </c>
      <c r="B3" s="12" t="inlineStr">
        <is>
          <t>Event</t>
        </is>
      </c>
    </row>
    <row r="4">
      <c r="A4" s="7" t="inlineStr">
        <is>
          <t>19 Jul 2024</t>
        </is>
      </c>
      <c r="B4" s="42" t="inlineStr">
        <is>
          <t>Sold Madiketane bull calf</t>
        </is>
      </c>
    </row>
    <row r="5">
      <c r="A5" s="7" t="inlineStr"/>
      <c r="B5" s="42" t="inlineStr">
        <is>
          <t>Slaughtered Madiketane (cow) for Manki's funeral</t>
        </is>
      </c>
    </row>
    <row r="6">
      <c r="A6" s="7" t="inlineStr"/>
      <c r="B6" s="42" t="inlineStr">
        <is>
          <t>Sold Ouma and bought Madiketane</t>
        </is>
      </c>
    </row>
    <row r="7">
      <c r="A7" s="7" t="inlineStr"/>
      <c r="B7" s="42" t="inlineStr">
        <is>
          <t>Ouma's bull calf was stolen</t>
        </is>
      </c>
    </row>
    <row r="8">
      <c r="A8" s="7" t="inlineStr"/>
      <c r="B8" s="42" t="inlineStr">
        <is>
          <t>Vaal 1 died giving birth</t>
        </is>
      </c>
    </row>
    <row r="9">
      <c r="A9" s="7" t="inlineStr"/>
      <c r="B9" s="42" t="inlineStr">
        <is>
          <t>Vaal 2 broken leg - bought Kalajane</t>
        </is>
      </c>
    </row>
    <row r="10">
      <c r="A10" s="7" t="inlineStr"/>
      <c r="B10" s="42" t="inlineStr">
        <is>
          <t>Vaal 3 sold - bought other cows</t>
        </is>
      </c>
    </row>
    <row r="11">
      <c r="A11" s="7" t="inlineStr"/>
      <c r="B11" s="42" t="inlineStr">
        <is>
          <t>Vaal 4 sold - bought more cows</t>
        </is>
      </c>
    </row>
    <row r="12">
      <c r="A12" s="7" t="inlineStr"/>
      <c r="B12" s="42" t="inlineStr">
        <is>
          <t>Exchanged Pitoria + calf for Mmadikrempe</t>
        </is>
      </c>
    </row>
    <row r="13">
      <c r="A13" s="7" t="inlineStr">
        <is>
          <t>Nov 2023</t>
        </is>
      </c>
      <c r="B13" s="42" t="inlineStr">
        <is>
          <t>All 30 goats stolen</t>
        </is>
      </c>
    </row>
    <row r="14">
      <c r="A14" s="7" t="inlineStr">
        <is>
          <t>02 Feb 2025</t>
        </is>
      </c>
      <c r="B14" s="42" t="inlineStr">
        <is>
          <t>Mphonyana struck by lightning</t>
        </is>
      </c>
    </row>
    <row r="15">
      <c r="A15" s="7" t="inlineStr">
        <is>
          <t>24 Jan 2025</t>
        </is>
      </c>
      <c r="B15" s="42" t="inlineStr">
        <is>
          <t>Kgomotso (Tshidi) died as calf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2026-05-25T14:51:29Z</dcterms:created>
  <dcterms:modified xmlns:dcterms="http://purl.org/dc/terms/" xmlns:xsi="http://www.w3.org/2001/XMLSchema-instance" xsi:type="dcterms:W3CDTF">2026-05-25T14:51:29Z</dcterms:modified>
</cp:coreProperties>
</file>